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9876" tabRatio="1000" activeTab="7"/>
  </bookViews>
  <sheets>
    <sheet name="Sheet4" sheetId="4" r:id="rId1"/>
    <sheet name="Residents" sheetId="5" r:id="rId2"/>
    <sheet name="Non-residents" sheetId="6" r:id="rId3"/>
    <sheet name="Total" sheetId="8" r:id="rId4"/>
    <sheet name="Males" sheetId="12" r:id="rId5"/>
    <sheet name="Females" sheetId="13" r:id="rId6"/>
    <sheet name="Males AverageAge" sheetId="14" r:id="rId7"/>
    <sheet name="Females AverageAge" sheetId="15" r:id="rId8"/>
    <sheet name="SM" sheetId="18" r:id="rId9"/>
    <sheet name="MM" sheetId="24" r:id="rId10"/>
    <sheet name="WM" sheetId="21" r:id="rId11"/>
    <sheet name="DM" sheetId="19" r:id="rId12"/>
    <sheet name="SF" sheetId="17" r:id="rId13"/>
    <sheet name="MF" sheetId="23" r:id="rId14"/>
    <sheet name="DF" sheetId="20" r:id="rId15"/>
    <sheet name="WF" sheetId="22" r:id="rId16"/>
    <sheet name="Sheet1" sheetId="25" r:id="rId17"/>
  </sheets>
  <calcPr calcId="162913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2" l="1"/>
  <c r="B3" i="22" l="1"/>
  <c r="D3" i="22" s="1"/>
  <c r="B4" i="22"/>
  <c r="D4" i="22" s="1"/>
  <c r="B5" i="22"/>
  <c r="D5" i="22" s="1"/>
  <c r="B6" i="22"/>
  <c r="D6" i="22" s="1"/>
  <c r="B7" i="22"/>
  <c r="D7" i="22" s="1"/>
  <c r="B8" i="22"/>
  <c r="D8" i="22" s="1"/>
  <c r="B9" i="22"/>
  <c r="D9" i="22" s="1"/>
  <c r="B10" i="22"/>
  <c r="D10" i="22" s="1"/>
  <c r="B11" i="22"/>
  <c r="D11" i="22" s="1"/>
  <c r="B12" i="22"/>
  <c r="D12" i="22" s="1"/>
  <c r="B13" i="22"/>
  <c r="D13" i="22" s="1"/>
  <c r="B14" i="22"/>
  <c r="D14" i="22" s="1"/>
  <c r="B15" i="22"/>
  <c r="D15" i="22" s="1"/>
  <c r="B16" i="22"/>
  <c r="D16" i="22" s="1"/>
  <c r="B17" i="22"/>
  <c r="D17" i="22" s="1"/>
  <c r="B18" i="22"/>
  <c r="D18" i="22" s="1"/>
  <c r="B19" i="22"/>
  <c r="D19" i="22" s="1"/>
  <c r="B20" i="22"/>
  <c r="D20" i="22" s="1"/>
  <c r="B21" i="22"/>
  <c r="D21" i="22" s="1"/>
  <c r="B22" i="22"/>
  <c r="D22" i="22" s="1"/>
  <c r="B23" i="22"/>
  <c r="D23" i="22" s="1"/>
  <c r="B24" i="22"/>
  <c r="D24" i="22" s="1"/>
  <c r="B25" i="22"/>
  <c r="D25" i="22" s="1"/>
  <c r="B26" i="22"/>
  <c r="D26" i="22" s="1"/>
  <c r="B27" i="22"/>
  <c r="D27" i="22" s="1"/>
  <c r="B28" i="22"/>
  <c r="D28" i="22" s="1"/>
  <c r="B29" i="22"/>
  <c r="D29" i="22" s="1"/>
  <c r="B30" i="22"/>
  <c r="D30" i="22" s="1"/>
  <c r="B2" i="22"/>
  <c r="D2" i="22" s="1"/>
  <c r="B3" i="20"/>
  <c r="D3" i="20" s="1"/>
  <c r="B4" i="20"/>
  <c r="D4" i="20" s="1"/>
  <c r="B5" i="20"/>
  <c r="D5" i="20" s="1"/>
  <c r="B6" i="20"/>
  <c r="D6" i="20" s="1"/>
  <c r="B7" i="20"/>
  <c r="D7" i="20" s="1"/>
  <c r="B8" i="20"/>
  <c r="D8" i="20" s="1"/>
  <c r="B9" i="20"/>
  <c r="D9" i="20" s="1"/>
  <c r="B10" i="20"/>
  <c r="D10" i="20" s="1"/>
  <c r="B11" i="20"/>
  <c r="D11" i="20" s="1"/>
  <c r="B12" i="20"/>
  <c r="D12" i="20" s="1"/>
  <c r="B13" i="20"/>
  <c r="D13" i="20" s="1"/>
  <c r="B14" i="20"/>
  <c r="D14" i="20" s="1"/>
  <c r="B15" i="20"/>
  <c r="D15" i="20" s="1"/>
  <c r="B16" i="20"/>
  <c r="D16" i="20" s="1"/>
  <c r="B17" i="20"/>
  <c r="D17" i="20" s="1"/>
  <c r="B18" i="20"/>
  <c r="D18" i="20" s="1"/>
  <c r="B19" i="20"/>
  <c r="D19" i="20" s="1"/>
  <c r="B20" i="20"/>
  <c r="D20" i="20" s="1"/>
  <c r="B21" i="20"/>
  <c r="D21" i="20" s="1"/>
  <c r="B22" i="20"/>
  <c r="D22" i="20" s="1"/>
  <c r="B23" i="20"/>
  <c r="D23" i="20" s="1"/>
  <c r="B24" i="20"/>
  <c r="D24" i="20" s="1"/>
  <c r="B25" i="20"/>
  <c r="D25" i="20" s="1"/>
  <c r="B26" i="20"/>
  <c r="D26" i="20" s="1"/>
  <c r="B27" i="20"/>
  <c r="D27" i="20" s="1"/>
  <c r="B28" i="20"/>
  <c r="D28" i="20" s="1"/>
  <c r="B29" i="20"/>
  <c r="D29" i="20" s="1"/>
  <c r="B30" i="20"/>
  <c r="D30" i="20" s="1"/>
  <c r="B2" i="20"/>
  <c r="D2" i="20" s="1"/>
  <c r="B3" i="23"/>
  <c r="D3" i="23" s="1"/>
  <c r="B4" i="23"/>
  <c r="D4" i="23" s="1"/>
  <c r="B5" i="23"/>
  <c r="D5" i="23" s="1"/>
  <c r="B6" i="23"/>
  <c r="D6" i="23" s="1"/>
  <c r="B7" i="23"/>
  <c r="D7" i="23" s="1"/>
  <c r="B8" i="23"/>
  <c r="D8" i="23" s="1"/>
  <c r="B9" i="23"/>
  <c r="D9" i="23" s="1"/>
  <c r="B10" i="23"/>
  <c r="D10" i="23" s="1"/>
  <c r="B11" i="23"/>
  <c r="D11" i="23" s="1"/>
  <c r="B12" i="23"/>
  <c r="D12" i="23" s="1"/>
  <c r="B13" i="23"/>
  <c r="D13" i="23" s="1"/>
  <c r="B14" i="23"/>
  <c r="D14" i="23" s="1"/>
  <c r="B15" i="23"/>
  <c r="D15" i="23" s="1"/>
  <c r="B16" i="23"/>
  <c r="D16" i="23" s="1"/>
  <c r="B17" i="23"/>
  <c r="D17" i="23" s="1"/>
  <c r="B18" i="23"/>
  <c r="D18" i="23" s="1"/>
  <c r="B19" i="23"/>
  <c r="D19" i="23" s="1"/>
  <c r="B20" i="23"/>
  <c r="D20" i="23" s="1"/>
  <c r="B21" i="23"/>
  <c r="D21" i="23" s="1"/>
  <c r="B22" i="23"/>
  <c r="D22" i="23" s="1"/>
  <c r="B23" i="23"/>
  <c r="D23" i="23" s="1"/>
  <c r="B24" i="23"/>
  <c r="D24" i="23" s="1"/>
  <c r="B25" i="23"/>
  <c r="D25" i="23" s="1"/>
  <c r="B26" i="23"/>
  <c r="D26" i="23" s="1"/>
  <c r="B27" i="23"/>
  <c r="D27" i="23" s="1"/>
  <c r="B28" i="23"/>
  <c r="D28" i="23" s="1"/>
  <c r="B29" i="23"/>
  <c r="D29" i="23" s="1"/>
  <c r="B30" i="23"/>
  <c r="D30" i="23" s="1"/>
  <c r="B2" i="23"/>
  <c r="D2" i="23" s="1"/>
  <c r="B3" i="17"/>
  <c r="D3" i="17" s="1"/>
  <c r="B4" i="17"/>
  <c r="D4" i="17" s="1"/>
  <c r="B5" i="17"/>
  <c r="D5" i="17" s="1"/>
  <c r="B6" i="17"/>
  <c r="D6" i="17" s="1"/>
  <c r="B7" i="17"/>
  <c r="D7" i="17" s="1"/>
  <c r="B8" i="17"/>
  <c r="D8" i="17" s="1"/>
  <c r="B9" i="17"/>
  <c r="D9" i="17" s="1"/>
  <c r="B10" i="17"/>
  <c r="D10" i="17" s="1"/>
  <c r="B11" i="17"/>
  <c r="D11" i="17" s="1"/>
  <c r="B12" i="17"/>
  <c r="D12" i="17" s="1"/>
  <c r="B13" i="17"/>
  <c r="D13" i="17" s="1"/>
  <c r="B14" i="17"/>
  <c r="D14" i="17" s="1"/>
  <c r="B15" i="17"/>
  <c r="D15" i="17" s="1"/>
  <c r="B16" i="17"/>
  <c r="D16" i="17" s="1"/>
  <c r="B17" i="17"/>
  <c r="D17" i="17" s="1"/>
  <c r="B18" i="17"/>
  <c r="D18" i="17" s="1"/>
  <c r="B19" i="17"/>
  <c r="D19" i="17" s="1"/>
  <c r="B20" i="17"/>
  <c r="D20" i="17" s="1"/>
  <c r="B21" i="17"/>
  <c r="D21" i="17" s="1"/>
  <c r="B22" i="17"/>
  <c r="D22" i="17" s="1"/>
  <c r="B23" i="17"/>
  <c r="D23" i="17" s="1"/>
  <c r="B24" i="17"/>
  <c r="D24" i="17" s="1"/>
  <c r="B25" i="17"/>
  <c r="D25" i="17" s="1"/>
  <c r="B26" i="17"/>
  <c r="D26" i="17" s="1"/>
  <c r="B27" i="17"/>
  <c r="D27" i="17" s="1"/>
  <c r="B28" i="17"/>
  <c r="D28" i="17" s="1"/>
  <c r="B29" i="17"/>
  <c r="D29" i="17" s="1"/>
  <c r="B30" i="17"/>
  <c r="D30" i="17" s="1"/>
  <c r="B2" i="17"/>
  <c r="D2" i="17" s="1"/>
  <c r="B3" i="21"/>
  <c r="D3" i="21" s="1"/>
  <c r="B4" i="21"/>
  <c r="D4" i="21" s="1"/>
  <c r="B5" i="21"/>
  <c r="D5" i="21" s="1"/>
  <c r="B6" i="21"/>
  <c r="D6" i="21" s="1"/>
  <c r="B7" i="21"/>
  <c r="D7" i="21" s="1"/>
  <c r="B8" i="21"/>
  <c r="D8" i="21" s="1"/>
  <c r="B9" i="21"/>
  <c r="D9" i="21" s="1"/>
  <c r="B10" i="21"/>
  <c r="D10" i="21" s="1"/>
  <c r="B11" i="21"/>
  <c r="D11" i="21" s="1"/>
  <c r="B12" i="21"/>
  <c r="D12" i="21" s="1"/>
  <c r="B13" i="21"/>
  <c r="D13" i="21" s="1"/>
  <c r="B14" i="21"/>
  <c r="D14" i="21" s="1"/>
  <c r="B15" i="21"/>
  <c r="D15" i="21" s="1"/>
  <c r="B16" i="21"/>
  <c r="D16" i="21" s="1"/>
  <c r="B17" i="21"/>
  <c r="D17" i="21" s="1"/>
  <c r="B18" i="21"/>
  <c r="D18" i="21" s="1"/>
  <c r="B19" i="21"/>
  <c r="D19" i="21" s="1"/>
  <c r="B20" i="21"/>
  <c r="D20" i="21" s="1"/>
  <c r="B21" i="21"/>
  <c r="D21" i="21" s="1"/>
  <c r="B22" i="21"/>
  <c r="D22" i="21" s="1"/>
  <c r="B23" i="21"/>
  <c r="D23" i="21" s="1"/>
  <c r="B24" i="21"/>
  <c r="D24" i="21" s="1"/>
  <c r="B25" i="21"/>
  <c r="D25" i="21" s="1"/>
  <c r="B26" i="21"/>
  <c r="D26" i="21" s="1"/>
  <c r="B27" i="21"/>
  <c r="D27" i="21" s="1"/>
  <c r="B28" i="21"/>
  <c r="D28" i="21" s="1"/>
  <c r="B29" i="21"/>
  <c r="D29" i="21" s="1"/>
  <c r="B30" i="21"/>
  <c r="D30" i="21" s="1"/>
  <c r="B2" i="21"/>
  <c r="D2" i="21" s="1"/>
  <c r="B3" i="19"/>
  <c r="D3" i="19" s="1"/>
  <c r="B4" i="19"/>
  <c r="D4" i="19" s="1"/>
  <c r="B5" i="19"/>
  <c r="D5" i="19" s="1"/>
  <c r="B6" i="19"/>
  <c r="D6" i="19" s="1"/>
  <c r="B7" i="19"/>
  <c r="D7" i="19" s="1"/>
  <c r="B8" i="19"/>
  <c r="D8" i="19" s="1"/>
  <c r="B9" i="19"/>
  <c r="D9" i="19" s="1"/>
  <c r="B10" i="19"/>
  <c r="D10" i="19" s="1"/>
  <c r="B11" i="19"/>
  <c r="D11" i="19" s="1"/>
  <c r="B12" i="19"/>
  <c r="D12" i="19" s="1"/>
  <c r="B13" i="19"/>
  <c r="D13" i="19" s="1"/>
  <c r="B14" i="19"/>
  <c r="D14" i="19" s="1"/>
  <c r="B15" i="19"/>
  <c r="D15" i="19" s="1"/>
  <c r="B16" i="19"/>
  <c r="D16" i="19" s="1"/>
  <c r="B17" i="19"/>
  <c r="D17" i="19" s="1"/>
  <c r="B18" i="19"/>
  <c r="D18" i="19" s="1"/>
  <c r="B19" i="19"/>
  <c r="D19" i="19" s="1"/>
  <c r="B20" i="19"/>
  <c r="D20" i="19" s="1"/>
  <c r="B21" i="19"/>
  <c r="D21" i="19" s="1"/>
  <c r="B22" i="19"/>
  <c r="D22" i="19" s="1"/>
  <c r="B23" i="19"/>
  <c r="D23" i="19" s="1"/>
  <c r="B24" i="19"/>
  <c r="D24" i="19" s="1"/>
  <c r="B25" i="19"/>
  <c r="D25" i="19" s="1"/>
  <c r="B26" i="19"/>
  <c r="D26" i="19" s="1"/>
  <c r="B27" i="19"/>
  <c r="D27" i="19" s="1"/>
  <c r="B28" i="19"/>
  <c r="D28" i="19" s="1"/>
  <c r="B29" i="19"/>
  <c r="D29" i="19" s="1"/>
  <c r="B30" i="19"/>
  <c r="D30" i="19" s="1"/>
  <c r="B2" i="19"/>
  <c r="D2" i="19" s="1"/>
  <c r="B3" i="24"/>
  <c r="D3" i="24" s="1"/>
  <c r="B4" i="24"/>
  <c r="D4" i="24" s="1"/>
  <c r="B5" i="24"/>
  <c r="D5" i="24" s="1"/>
  <c r="B6" i="24"/>
  <c r="D6" i="24" s="1"/>
  <c r="B7" i="24"/>
  <c r="D7" i="24" s="1"/>
  <c r="B8" i="24"/>
  <c r="D8" i="24" s="1"/>
  <c r="B9" i="24"/>
  <c r="D9" i="24" s="1"/>
  <c r="B10" i="24"/>
  <c r="D10" i="24" s="1"/>
  <c r="B11" i="24"/>
  <c r="D11" i="24" s="1"/>
  <c r="B12" i="24"/>
  <c r="D12" i="24" s="1"/>
  <c r="B13" i="24"/>
  <c r="D13" i="24" s="1"/>
  <c r="B14" i="24"/>
  <c r="D14" i="24" s="1"/>
  <c r="B15" i="24"/>
  <c r="D15" i="24" s="1"/>
  <c r="B16" i="24"/>
  <c r="D16" i="24" s="1"/>
  <c r="B17" i="24"/>
  <c r="D17" i="24" s="1"/>
  <c r="B18" i="24"/>
  <c r="D18" i="24" s="1"/>
  <c r="B19" i="24"/>
  <c r="D19" i="24" s="1"/>
  <c r="B20" i="24"/>
  <c r="D20" i="24" s="1"/>
  <c r="B21" i="24"/>
  <c r="D21" i="24" s="1"/>
  <c r="B22" i="24"/>
  <c r="D22" i="24" s="1"/>
  <c r="B23" i="24"/>
  <c r="D23" i="24" s="1"/>
  <c r="B24" i="24"/>
  <c r="D24" i="24" s="1"/>
  <c r="B25" i="24"/>
  <c r="D25" i="24" s="1"/>
  <c r="B26" i="24"/>
  <c r="D26" i="24" s="1"/>
  <c r="B27" i="24"/>
  <c r="D27" i="24" s="1"/>
  <c r="B28" i="24"/>
  <c r="D28" i="24" s="1"/>
  <c r="B29" i="24"/>
  <c r="D29" i="24" s="1"/>
  <c r="B30" i="24"/>
  <c r="D30" i="24" s="1"/>
  <c r="B2" i="24"/>
  <c r="D2" i="24" s="1"/>
  <c r="B3" i="18"/>
  <c r="D3" i="18" s="1"/>
  <c r="B4" i="18"/>
  <c r="D4" i="18" s="1"/>
  <c r="B5" i="18"/>
  <c r="D5" i="18" s="1"/>
  <c r="B6" i="18"/>
  <c r="D6" i="18" s="1"/>
  <c r="B7" i="18"/>
  <c r="D7" i="18" s="1"/>
  <c r="B8" i="18"/>
  <c r="D8" i="18" s="1"/>
  <c r="B9" i="18"/>
  <c r="D9" i="18" s="1"/>
  <c r="B10" i="18"/>
  <c r="D10" i="18" s="1"/>
  <c r="B11" i="18"/>
  <c r="D11" i="18" s="1"/>
  <c r="B12" i="18"/>
  <c r="D12" i="18" s="1"/>
  <c r="B13" i="18"/>
  <c r="D13" i="18" s="1"/>
  <c r="B14" i="18"/>
  <c r="D14" i="18" s="1"/>
  <c r="B15" i="18"/>
  <c r="D15" i="18" s="1"/>
  <c r="B16" i="18"/>
  <c r="D16" i="18" s="1"/>
  <c r="B17" i="18"/>
  <c r="D17" i="18" s="1"/>
  <c r="B18" i="18"/>
  <c r="D18" i="18" s="1"/>
  <c r="B19" i="18"/>
  <c r="D19" i="18" s="1"/>
  <c r="B20" i="18"/>
  <c r="D20" i="18" s="1"/>
  <c r="B21" i="18"/>
  <c r="D21" i="18" s="1"/>
  <c r="B22" i="18"/>
  <c r="D22" i="18" s="1"/>
  <c r="B23" i="18"/>
  <c r="D23" i="18" s="1"/>
  <c r="B24" i="18"/>
  <c r="D24" i="18" s="1"/>
  <c r="B25" i="18"/>
  <c r="D25" i="18" s="1"/>
  <c r="B26" i="18"/>
  <c r="D26" i="18" s="1"/>
  <c r="B27" i="18"/>
  <c r="D27" i="18" s="1"/>
  <c r="B28" i="18"/>
  <c r="D28" i="18" s="1"/>
  <c r="B29" i="18"/>
  <c r="D29" i="18" s="1"/>
  <c r="B30" i="18"/>
  <c r="D30" i="18" s="1"/>
  <c r="B2" i="18"/>
  <c r="D2" i="18" s="1"/>
  <c r="D31" i="23" l="1"/>
  <c r="D31" i="19"/>
  <c r="D31" i="18"/>
  <c r="D31" i="22"/>
  <c r="D31" i="17"/>
  <c r="D31" i="24"/>
  <c r="D31" i="20"/>
  <c r="D31" i="21"/>
  <c r="B2" i="5"/>
  <c r="Q52" i="25"/>
  <c r="Q53" i="25"/>
  <c r="Q54" i="25"/>
  <c r="Q55" i="25"/>
  <c r="Q56" i="25"/>
  <c r="Q57" i="25"/>
  <c r="Q58" i="25"/>
  <c r="Q59" i="25"/>
  <c r="Q60" i="25"/>
  <c r="Q51" i="25"/>
  <c r="O52" i="25"/>
  <c r="O53" i="25"/>
  <c r="O54" i="25"/>
  <c r="O55" i="25"/>
  <c r="O56" i="25"/>
  <c r="O57" i="25"/>
  <c r="O58" i="25"/>
  <c r="O59" i="25"/>
  <c r="O60" i="25"/>
  <c r="O61" i="25" s="1"/>
  <c r="O51" i="25"/>
  <c r="M1" i="25" l="1"/>
  <c r="M2" i="25"/>
  <c r="M3" i="25"/>
  <c r="M4" i="25"/>
  <c r="M5" i="25"/>
  <c r="M11" i="25"/>
  <c r="M12" i="25"/>
  <c r="M13" i="25"/>
  <c r="M14" i="25"/>
  <c r="M15" i="25"/>
  <c r="M16" i="25"/>
  <c r="M17" i="25"/>
  <c r="M18" i="25"/>
  <c r="M19" i="25"/>
  <c r="M20" i="25"/>
  <c r="M56" i="25"/>
  <c r="M57" i="25"/>
  <c r="M58" i="25"/>
  <c r="M59" i="25"/>
  <c r="M60" i="25"/>
  <c r="D26" i="25" l="1"/>
  <c r="C60" i="25"/>
  <c r="C1" i="25"/>
  <c r="C3" i="25"/>
  <c r="C4" i="25"/>
  <c r="C5" i="25"/>
  <c r="D6" i="25" s="1"/>
  <c r="C6" i="25"/>
  <c r="C7" i="25"/>
  <c r="D8" i="25" s="1"/>
  <c r="C8" i="25"/>
  <c r="C9" i="25"/>
  <c r="C10" i="25"/>
  <c r="C11" i="25"/>
  <c r="C12" i="25"/>
  <c r="C13" i="25"/>
  <c r="C14" i="25"/>
  <c r="D15" i="25" s="1"/>
  <c r="C15" i="25"/>
  <c r="C16" i="25"/>
  <c r="C17" i="25"/>
  <c r="C18" i="25"/>
  <c r="C19" i="25"/>
  <c r="C20" i="25"/>
  <c r="C21" i="25"/>
  <c r="C22" i="25"/>
  <c r="C23" i="25"/>
  <c r="C24" i="25"/>
  <c r="D25" i="25" s="1"/>
  <c r="C25" i="25"/>
  <c r="C26" i="25"/>
  <c r="C27" i="25"/>
  <c r="C28" i="25"/>
  <c r="C29" i="25"/>
  <c r="C30" i="25"/>
  <c r="C31" i="25"/>
  <c r="C32" i="25"/>
  <c r="C33" i="25"/>
  <c r="C34" i="25"/>
  <c r="C35" i="25"/>
  <c r="C36" i="25"/>
  <c r="D37" i="25" s="1"/>
  <c r="C37" i="25"/>
  <c r="C38" i="25"/>
  <c r="C39" i="25"/>
  <c r="C40" i="25"/>
  <c r="C41" i="25"/>
  <c r="C42" i="25"/>
  <c r="C43" i="25"/>
  <c r="C44" i="25"/>
  <c r="D45" i="25" s="1"/>
  <c r="C45" i="25"/>
  <c r="D46" i="25" s="1"/>
  <c r="C46" i="25"/>
  <c r="D47" i="25" s="1"/>
  <c r="C47" i="25"/>
  <c r="C48" i="25"/>
  <c r="C49" i="25"/>
  <c r="C50" i="25"/>
  <c r="C51" i="25"/>
  <c r="C52" i="25"/>
  <c r="C53" i="25"/>
  <c r="D54" i="25" s="1"/>
  <c r="C54" i="25"/>
  <c r="C55" i="25"/>
  <c r="D56" i="25" s="1"/>
  <c r="C56" i="25"/>
  <c r="C57" i="25"/>
  <c r="C58" i="25"/>
  <c r="C59" i="25"/>
  <c r="D60" i="25" s="1"/>
  <c r="C2" i="25"/>
  <c r="D3" i="25" s="1"/>
  <c r="D58" i="25" l="1"/>
  <c r="E55" i="25"/>
  <c r="D59" i="25"/>
  <c r="E60" i="25" s="1"/>
  <c r="D55" i="25"/>
  <c r="E46" i="25"/>
  <c r="D36" i="25"/>
  <c r="D35" i="25"/>
  <c r="E36" i="25" s="1"/>
  <c r="D34" i="25"/>
  <c r="E35" i="25" s="1"/>
  <c r="D39" i="25"/>
  <c r="D31" i="25"/>
  <c r="D30" i="25"/>
  <c r="D22" i="25"/>
  <c r="D28" i="25"/>
  <c r="D24" i="25"/>
  <c r="E25" i="25" s="1"/>
  <c r="D18" i="25"/>
  <c r="D14" i="25"/>
  <c r="E15" i="25" s="1"/>
  <c r="D5" i="25"/>
  <c r="D4" i="25"/>
  <c r="D7" i="25"/>
  <c r="E7" i="25" s="1"/>
  <c r="D57" i="25"/>
  <c r="D52" i="25"/>
  <c r="D53" i="25"/>
  <c r="D51" i="25"/>
  <c r="D50" i="25"/>
  <c r="D49" i="25"/>
  <c r="D44" i="25"/>
  <c r="E45" i="25" s="1"/>
  <c r="D48" i="25"/>
  <c r="E47" i="25" s="1"/>
  <c r="D43" i="25"/>
  <c r="E44" i="25" s="1"/>
  <c r="F45" i="25" s="1"/>
  <c r="D42" i="25"/>
  <c r="D40" i="25"/>
  <c r="D38" i="25"/>
  <c r="D33" i="25"/>
  <c r="D41" i="25"/>
  <c r="D32" i="25"/>
  <c r="D29" i="25"/>
  <c r="E30" i="25" s="1"/>
  <c r="E29" i="25"/>
  <c r="D27" i="25"/>
  <c r="D23" i="25"/>
  <c r="E24" i="25" s="1"/>
  <c r="D19" i="25"/>
  <c r="D17" i="25"/>
  <c r="D21" i="25"/>
  <c r="D16" i="25"/>
  <c r="D20" i="25"/>
  <c r="D13" i="25"/>
  <c r="D12" i="25"/>
  <c r="E13" i="25" s="1"/>
  <c r="D10" i="25"/>
  <c r="E9" i="25"/>
  <c r="D9" i="25"/>
  <c r="E8" i="25"/>
  <c r="E6" i="25"/>
  <c r="E5" i="25"/>
  <c r="D2" i="25"/>
  <c r="E3" i="25" s="1"/>
  <c r="D11" i="25"/>
  <c r="E4" i="25"/>
  <c r="D1" i="25"/>
  <c r="B3" i="15"/>
  <c r="B4" i="15"/>
  <c r="B5" i="15"/>
  <c r="B6" i="15"/>
  <c r="B7" i="15"/>
  <c r="B8" i="15"/>
  <c r="B9" i="15"/>
  <c r="B10" i="15"/>
  <c r="B11" i="15"/>
  <c r="B12" i="15"/>
  <c r="B13" i="15"/>
  <c r="B14" i="15"/>
  <c r="B15" i="15"/>
  <c r="B16" i="15"/>
  <c r="B17" i="15"/>
  <c r="B18" i="15"/>
  <c r="B19" i="15"/>
  <c r="B20" i="15"/>
  <c r="B21" i="15"/>
  <c r="B22" i="15"/>
  <c r="B23" i="15"/>
  <c r="B24" i="15"/>
  <c r="B25" i="15"/>
  <c r="B26" i="15"/>
  <c r="B27" i="15"/>
  <c r="B28" i="15"/>
  <c r="B29" i="15"/>
  <c r="B30" i="15"/>
  <c r="B3" i="14"/>
  <c r="B4" i="14"/>
  <c r="B5" i="14"/>
  <c r="B6" i="14"/>
  <c r="B7" i="14"/>
  <c r="B8" i="14"/>
  <c r="B9" i="14"/>
  <c r="B10" i="14"/>
  <c r="B11" i="14"/>
  <c r="B12" i="14"/>
  <c r="B13" i="14"/>
  <c r="B14" i="14"/>
  <c r="B15" i="14"/>
  <c r="B16" i="14"/>
  <c r="B17" i="14"/>
  <c r="B18" i="14"/>
  <c r="B19" i="14"/>
  <c r="B20" i="14"/>
  <c r="B21" i="14"/>
  <c r="B22" i="14"/>
  <c r="B23" i="14"/>
  <c r="B24" i="14"/>
  <c r="B25" i="14"/>
  <c r="B26" i="14"/>
  <c r="B27" i="14"/>
  <c r="B28" i="14"/>
  <c r="B29" i="14"/>
  <c r="B30" i="14"/>
  <c r="B3" i="13"/>
  <c r="B4" i="13"/>
  <c r="B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2" i="15"/>
  <c r="B2" i="14"/>
  <c r="B2" i="13"/>
  <c r="B2" i="12"/>
  <c r="B2" i="6"/>
  <c r="B19" i="8" l="1"/>
  <c r="B29" i="8"/>
  <c r="E58" i="25"/>
  <c r="F59" i="25" s="1"/>
  <c r="G60" i="25" s="1"/>
  <c r="E56" i="25"/>
  <c r="E59" i="25"/>
  <c r="E54" i="25"/>
  <c r="F55" i="25" s="1"/>
  <c r="E51" i="25"/>
  <c r="E43" i="25"/>
  <c r="F44" i="25" s="1"/>
  <c r="E34" i="25"/>
  <c r="F35" i="25" s="1"/>
  <c r="E31" i="25"/>
  <c r="E28" i="25"/>
  <c r="F29" i="25" s="1"/>
  <c r="E27" i="25"/>
  <c r="F28" i="25" s="1"/>
  <c r="E26" i="25"/>
  <c r="F27" i="25" s="1"/>
  <c r="E14" i="25"/>
  <c r="F14" i="25" s="1"/>
  <c r="E17" i="25"/>
  <c r="F8" i="25"/>
  <c r="F5" i="25"/>
  <c r="F4" i="25"/>
  <c r="F56" i="25"/>
  <c r="E49" i="25"/>
  <c r="F60" i="25"/>
  <c r="E50" i="25"/>
  <c r="E57" i="25"/>
  <c r="E53" i="25"/>
  <c r="F54" i="25" s="1"/>
  <c r="E52" i="25"/>
  <c r="F53" i="25" s="1"/>
  <c r="F46" i="25"/>
  <c r="E48" i="25"/>
  <c r="F48" i="25" s="1"/>
  <c r="E40" i="25"/>
  <c r="E42" i="25"/>
  <c r="E39" i="25"/>
  <c r="E41" i="25"/>
  <c r="E38" i="25"/>
  <c r="E37" i="25"/>
  <c r="E33" i="25"/>
  <c r="E32" i="25"/>
  <c r="E23" i="25"/>
  <c r="F24" i="25" s="1"/>
  <c r="E22" i="25"/>
  <c r="F30" i="25"/>
  <c r="E21" i="25"/>
  <c r="E12" i="25"/>
  <c r="E16" i="25"/>
  <c r="E18" i="25"/>
  <c r="E19" i="25"/>
  <c r="E20" i="25"/>
  <c r="E10" i="25"/>
  <c r="E11" i="25"/>
  <c r="F12" i="25" s="1"/>
  <c r="F6" i="25"/>
  <c r="F7" i="25"/>
  <c r="E2" i="25"/>
  <c r="F3" i="25" s="1"/>
  <c r="E1" i="25"/>
  <c r="B25" i="8"/>
  <c r="B28" i="8"/>
  <c r="B23" i="8"/>
  <c r="B30" i="8"/>
  <c r="B26" i="8"/>
  <c r="B24" i="8"/>
  <c r="B16" i="8"/>
  <c r="B22" i="8"/>
  <c r="B27" i="8"/>
  <c r="B11" i="8"/>
  <c r="B20" i="8"/>
  <c r="B12" i="8"/>
  <c r="B21" i="8"/>
  <c r="B13" i="8"/>
  <c r="B18" i="8"/>
  <c r="B15" i="8"/>
  <c r="B14" i="8"/>
  <c r="B7" i="8"/>
  <c r="B10" i="8"/>
  <c r="B4" i="8"/>
  <c r="B3" i="8"/>
  <c r="B5" i="8"/>
  <c r="B8" i="8"/>
  <c r="B6" i="8"/>
  <c r="B17" i="8"/>
  <c r="B9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2" i="8"/>
  <c r="F58" i="25" l="1"/>
  <c r="G59" i="25" s="1"/>
  <c r="H60" i="25" s="1"/>
  <c r="F47" i="25"/>
  <c r="F51" i="25"/>
  <c r="F52" i="25"/>
  <c r="G53" i="25" s="1"/>
  <c r="F49" i="25"/>
  <c r="F50" i="25"/>
  <c r="G51" i="25" s="1"/>
  <c r="F43" i="25"/>
  <c r="G44" i="25" s="1"/>
  <c r="F34" i="25"/>
  <c r="F25" i="25"/>
  <c r="G26" i="25" s="1"/>
  <c r="G28" i="25"/>
  <c r="F33" i="25"/>
  <c r="G34" i="25" s="1"/>
  <c r="F26" i="25"/>
  <c r="G27" i="25" s="1"/>
  <c r="F17" i="25"/>
  <c r="F23" i="25"/>
  <c r="F13" i="25"/>
  <c r="F19" i="25"/>
  <c r="F16" i="25"/>
  <c r="G13" i="25"/>
  <c r="G5" i="25"/>
  <c r="G4" i="25"/>
  <c r="F57" i="25"/>
  <c r="G54" i="25"/>
  <c r="G55" i="25"/>
  <c r="G48" i="25"/>
  <c r="G47" i="25"/>
  <c r="G46" i="25"/>
  <c r="F40" i="25"/>
  <c r="G45" i="25"/>
  <c r="F41" i="25"/>
  <c r="F39" i="25"/>
  <c r="F38" i="25"/>
  <c r="F42" i="25"/>
  <c r="F37" i="25"/>
  <c r="F31" i="25"/>
  <c r="F32" i="25"/>
  <c r="F36" i="25"/>
  <c r="G29" i="25"/>
  <c r="F22" i="25"/>
  <c r="F21" i="25"/>
  <c r="G22" i="25" s="1"/>
  <c r="F15" i="25"/>
  <c r="G16" i="25"/>
  <c r="F18" i="25"/>
  <c r="G17" i="25"/>
  <c r="F20" i="25"/>
  <c r="G6" i="25"/>
  <c r="F11" i="25"/>
  <c r="G12" i="25" s="1"/>
  <c r="F9" i="25"/>
  <c r="G8" i="25" s="1"/>
  <c r="F10" i="25"/>
  <c r="G7" i="25"/>
  <c r="F1" i="25"/>
  <c r="F2" i="25"/>
  <c r="G3" i="25" s="1"/>
  <c r="B2" i="8"/>
  <c r="G58" i="25" l="1"/>
  <c r="H59" i="25" s="1"/>
  <c r="I60" i="25" s="1"/>
  <c r="G50" i="25"/>
  <c r="G49" i="25"/>
  <c r="H47" i="25"/>
  <c r="H50" i="25"/>
  <c r="G43" i="25"/>
  <c r="G52" i="25"/>
  <c r="H52" i="25" s="1"/>
  <c r="G41" i="25"/>
  <c r="H27" i="25"/>
  <c r="H44" i="25"/>
  <c r="G33" i="25"/>
  <c r="G32" i="25"/>
  <c r="H33" i="25" s="1"/>
  <c r="G24" i="25"/>
  <c r="G25" i="25"/>
  <c r="H26" i="25" s="1"/>
  <c r="G23" i="25"/>
  <c r="H24" i="25" s="1"/>
  <c r="G18" i="25"/>
  <c r="H17" i="25" s="1"/>
  <c r="G15" i="25"/>
  <c r="H16" i="25" s="1"/>
  <c r="H5" i="25"/>
  <c r="G14" i="25"/>
  <c r="H6" i="25"/>
  <c r="H4" i="25"/>
  <c r="I5" i="25" s="1"/>
  <c r="G56" i="25"/>
  <c r="H49" i="25"/>
  <c r="H53" i="25"/>
  <c r="H55" i="25"/>
  <c r="G57" i="25"/>
  <c r="H54" i="25"/>
  <c r="H48" i="25"/>
  <c r="H45" i="25"/>
  <c r="G40" i="25"/>
  <c r="G42" i="25"/>
  <c r="H43" i="25" s="1"/>
  <c r="H46" i="25"/>
  <c r="I47" i="25" s="1"/>
  <c r="G38" i="25"/>
  <c r="G39" i="25"/>
  <c r="G30" i="25"/>
  <c r="G31" i="25"/>
  <c r="G37" i="25"/>
  <c r="G36" i="25"/>
  <c r="G35" i="25"/>
  <c r="H28" i="25"/>
  <c r="G21" i="25"/>
  <c r="H22" i="25" s="1"/>
  <c r="H7" i="25"/>
  <c r="I6" i="25" s="1"/>
  <c r="G20" i="25"/>
  <c r="H23" i="25"/>
  <c r="G11" i="25"/>
  <c r="H12" i="25" s="1"/>
  <c r="G19" i="25"/>
  <c r="G10" i="25"/>
  <c r="G9" i="25"/>
  <c r="G2" i="25"/>
  <c r="H3" i="25" s="1"/>
  <c r="G1" i="25"/>
  <c r="H58" i="25" l="1"/>
  <c r="I59" i="25" s="1"/>
  <c r="J60" i="25" s="1"/>
  <c r="I53" i="25"/>
  <c r="H42" i="25"/>
  <c r="I43" i="25" s="1"/>
  <c r="H51" i="25"/>
  <c r="I52" i="25" s="1"/>
  <c r="H34" i="25"/>
  <c r="H41" i="25"/>
  <c r="I42" i="25" s="1"/>
  <c r="H32" i="25"/>
  <c r="I33" i="25" s="1"/>
  <c r="H31" i="25"/>
  <c r="H25" i="25"/>
  <c r="I25" i="25" s="1"/>
  <c r="I23" i="25"/>
  <c r="H14" i="25"/>
  <c r="H20" i="25"/>
  <c r="H15" i="25"/>
  <c r="H13" i="25"/>
  <c r="I13" i="25" s="1"/>
  <c r="I4" i="25"/>
  <c r="J5" i="25" s="1"/>
  <c r="H56" i="25"/>
  <c r="I55" i="25"/>
  <c r="I54" i="25"/>
  <c r="I49" i="25"/>
  <c r="H57" i="25"/>
  <c r="I48" i="25"/>
  <c r="I45" i="25"/>
  <c r="I46" i="25"/>
  <c r="H40" i="25"/>
  <c r="I44" i="25"/>
  <c r="J45" i="25" s="1"/>
  <c r="H39" i="25"/>
  <c r="H38" i="25"/>
  <c r="H37" i="25"/>
  <c r="H29" i="25"/>
  <c r="H30" i="25"/>
  <c r="H36" i="25"/>
  <c r="H35" i="25"/>
  <c r="I30" i="25"/>
  <c r="I27" i="25"/>
  <c r="H21" i="25"/>
  <c r="I22" i="25" s="1"/>
  <c r="H10" i="25"/>
  <c r="H18" i="25"/>
  <c r="I17" i="25" s="1"/>
  <c r="H11" i="25"/>
  <c r="H19" i="25"/>
  <c r="H9" i="25"/>
  <c r="I10" i="25" s="1"/>
  <c r="H8" i="25"/>
  <c r="H1" i="25"/>
  <c r="H2" i="25"/>
  <c r="I3" i="25" s="1"/>
  <c r="I58" i="25" l="1"/>
  <c r="J59" i="25" s="1"/>
  <c r="K60" i="25" s="1"/>
  <c r="J54" i="25"/>
  <c r="I51" i="25"/>
  <c r="J52" i="25" s="1"/>
  <c r="I41" i="25"/>
  <c r="J42" i="25" s="1"/>
  <c r="I50" i="25"/>
  <c r="J51" i="25" s="1"/>
  <c r="I36" i="25"/>
  <c r="I31" i="25"/>
  <c r="I32" i="25"/>
  <c r="I29" i="25"/>
  <c r="I26" i="25"/>
  <c r="I28" i="25"/>
  <c r="J29" i="25" s="1"/>
  <c r="I24" i="25"/>
  <c r="J25" i="25" s="1"/>
  <c r="I21" i="25"/>
  <c r="J22" i="25" s="1"/>
  <c r="I12" i="25"/>
  <c r="I14" i="25"/>
  <c r="I15" i="25"/>
  <c r="J14" i="25" s="1"/>
  <c r="I16" i="25"/>
  <c r="J16" i="25" s="1"/>
  <c r="J13" i="25"/>
  <c r="J4" i="25"/>
  <c r="I56" i="25"/>
  <c r="J55" i="25" s="1"/>
  <c r="I57" i="25"/>
  <c r="J49" i="25"/>
  <c r="J53" i="25"/>
  <c r="K53" i="25" s="1"/>
  <c r="J48" i="25"/>
  <c r="J47" i="25"/>
  <c r="J46" i="25"/>
  <c r="J43" i="25"/>
  <c r="J44" i="25"/>
  <c r="I39" i="25"/>
  <c r="I40" i="25"/>
  <c r="J41" i="25" s="1"/>
  <c r="I35" i="25"/>
  <c r="I37" i="25"/>
  <c r="I38" i="25"/>
  <c r="I34" i="25"/>
  <c r="J28" i="25"/>
  <c r="I20" i="25"/>
  <c r="I19" i="25"/>
  <c r="I18" i="25"/>
  <c r="I11" i="25"/>
  <c r="J12" i="25" s="1"/>
  <c r="I9" i="25"/>
  <c r="I7" i="25"/>
  <c r="I8" i="25"/>
  <c r="I2" i="25"/>
  <c r="J3" i="25" s="1"/>
  <c r="I1" i="25"/>
  <c r="J58" i="25" l="1"/>
  <c r="K59" i="25" s="1"/>
  <c r="L60" i="25" s="1"/>
  <c r="N60" i="25" s="1"/>
  <c r="K46" i="25"/>
  <c r="J50" i="25"/>
  <c r="K51" i="25" s="1"/>
  <c r="J32" i="25"/>
  <c r="K45" i="25"/>
  <c r="J31" i="25"/>
  <c r="J30" i="25"/>
  <c r="K30" i="25" s="1"/>
  <c r="J27" i="25"/>
  <c r="K28" i="25" s="1"/>
  <c r="J26" i="25"/>
  <c r="K26" i="25" s="1"/>
  <c r="J39" i="25"/>
  <c r="J21" i="25"/>
  <c r="J23" i="25"/>
  <c r="K22" i="25" s="1"/>
  <c r="J24" i="25"/>
  <c r="J20" i="25"/>
  <c r="J15" i="25"/>
  <c r="K14" i="25" s="1"/>
  <c r="K4" i="25"/>
  <c r="K54" i="25"/>
  <c r="K52" i="25"/>
  <c r="J56" i="25"/>
  <c r="J57" i="25"/>
  <c r="K47" i="25"/>
  <c r="K48" i="25"/>
  <c r="J40" i="25"/>
  <c r="K41" i="25" s="1"/>
  <c r="K44" i="25"/>
  <c r="K43" i="25"/>
  <c r="K42" i="25"/>
  <c r="J38" i="25"/>
  <c r="J37" i="25"/>
  <c r="J36" i="25"/>
  <c r="J35" i="25"/>
  <c r="J33" i="25"/>
  <c r="J34" i="25"/>
  <c r="K29" i="25"/>
  <c r="K31" i="25"/>
  <c r="J10" i="25"/>
  <c r="J19" i="25"/>
  <c r="K20" i="25" s="1"/>
  <c r="J17" i="25"/>
  <c r="J18" i="25"/>
  <c r="J11" i="25"/>
  <c r="K12" i="25" s="1"/>
  <c r="K21" i="25"/>
  <c r="K15" i="25"/>
  <c r="K13" i="25"/>
  <c r="J9" i="25"/>
  <c r="J8" i="25"/>
  <c r="J6" i="25"/>
  <c r="J7" i="25"/>
  <c r="J2" i="25"/>
  <c r="K3" i="25" s="1"/>
  <c r="J1" i="25"/>
  <c r="K58" i="25" l="1"/>
  <c r="L59" i="25" s="1"/>
  <c r="N59" i="25" s="1"/>
  <c r="L52" i="25"/>
  <c r="N52" i="25" s="1"/>
  <c r="L43" i="25"/>
  <c r="N43" i="25" s="1"/>
  <c r="L53" i="25"/>
  <c r="N53" i="25" s="1"/>
  <c r="K50" i="25"/>
  <c r="L51" i="25" s="1"/>
  <c r="N51" i="25" s="1"/>
  <c r="K49" i="25"/>
  <c r="L50" i="25" s="1"/>
  <c r="N50" i="25" s="1"/>
  <c r="L45" i="25"/>
  <c r="N45" i="25" s="1"/>
  <c r="L44" i="25"/>
  <c r="N44" i="25" s="1"/>
  <c r="L42" i="25"/>
  <c r="N42" i="25" s="1"/>
  <c r="K37" i="25"/>
  <c r="K25" i="25"/>
  <c r="L46" i="25"/>
  <c r="N46" i="25" s="1"/>
  <c r="K27" i="25"/>
  <c r="K38" i="25"/>
  <c r="L47" i="25"/>
  <c r="N47" i="25" s="1"/>
  <c r="K35" i="25"/>
  <c r="K36" i="25"/>
  <c r="K24" i="25"/>
  <c r="K16" i="25"/>
  <c r="L15" i="25" s="1"/>
  <c r="N15" i="25" s="1"/>
  <c r="L30" i="25"/>
  <c r="N30" i="25" s="1"/>
  <c r="K23" i="25"/>
  <c r="L27" i="25"/>
  <c r="N27" i="25" s="1"/>
  <c r="L26" i="25"/>
  <c r="N26" i="25" s="1"/>
  <c r="L13" i="25"/>
  <c r="N13" i="25" s="1"/>
  <c r="L28" i="25"/>
  <c r="N28" i="25" s="1"/>
  <c r="L25" i="25"/>
  <c r="N25" i="25" s="1"/>
  <c r="L21" i="25"/>
  <c r="N21" i="25" s="1"/>
  <c r="L29" i="25"/>
  <c r="N29" i="25" s="1"/>
  <c r="L14" i="25"/>
  <c r="N14" i="25" s="1"/>
  <c r="K57" i="25"/>
  <c r="L58" i="25" s="1"/>
  <c r="N58" i="25" s="1"/>
  <c r="K56" i="25"/>
  <c r="L57" i="25" s="1"/>
  <c r="N57" i="25" s="1"/>
  <c r="K55" i="25"/>
  <c r="K40" i="25"/>
  <c r="L41" i="25" s="1"/>
  <c r="N41" i="25" s="1"/>
  <c r="K39" i="25"/>
  <c r="K34" i="25"/>
  <c r="K32" i="25"/>
  <c r="K33" i="25"/>
  <c r="K9" i="25"/>
  <c r="K11" i="25"/>
  <c r="L12" i="25" s="1"/>
  <c r="N12" i="25" s="1"/>
  <c r="K19" i="25"/>
  <c r="L20" i="25" s="1"/>
  <c r="N20" i="25" s="1"/>
  <c r="K17" i="25"/>
  <c r="L18" i="25" s="1"/>
  <c r="N18" i="25" s="1"/>
  <c r="K10" i="25"/>
  <c r="K18" i="25"/>
  <c r="K8" i="25"/>
  <c r="K7" i="25"/>
  <c r="K6" i="25"/>
  <c r="K5" i="25"/>
  <c r="L4" i="25" s="1"/>
  <c r="N4" i="25" s="1"/>
  <c r="K2" i="25"/>
  <c r="L3" i="25" s="1"/>
  <c r="N3" i="25" s="1"/>
  <c r="K1" i="25"/>
  <c r="L56" i="25" l="1"/>
  <c r="N56" i="25" s="1"/>
  <c r="L48" i="25"/>
  <c r="N48" i="25" s="1"/>
  <c r="L55" i="25"/>
  <c r="N55" i="25" s="1"/>
  <c r="L54" i="25"/>
  <c r="N54" i="25" s="1"/>
  <c r="L49" i="25"/>
  <c r="N49" i="25" s="1"/>
  <c r="L37" i="25"/>
  <c r="N37" i="25" s="1"/>
  <c r="L23" i="25"/>
  <c r="N23" i="25" s="1"/>
  <c r="L36" i="25"/>
  <c r="N36" i="25" s="1"/>
  <c r="L32" i="25"/>
  <c r="N32" i="25" s="1"/>
  <c r="L35" i="25"/>
  <c r="N35" i="25" s="1"/>
  <c r="L40" i="25"/>
  <c r="N40" i="25" s="1"/>
  <c r="L38" i="25"/>
  <c r="N38" i="25" s="1"/>
  <c r="L39" i="25"/>
  <c r="N39" i="25" s="1"/>
  <c r="L22" i="25"/>
  <c r="N22" i="25" s="1"/>
  <c r="L34" i="25"/>
  <c r="N34" i="25" s="1"/>
  <c r="L33" i="25"/>
  <c r="N33" i="25" s="1"/>
  <c r="L24" i="25"/>
  <c r="N24" i="25" s="1"/>
  <c r="L31" i="25"/>
  <c r="N31" i="25" s="1"/>
  <c r="L9" i="25"/>
  <c r="N9" i="25" s="1"/>
  <c r="L16" i="25"/>
  <c r="N16" i="25" s="1"/>
  <c r="L19" i="25"/>
  <c r="N19" i="25" s="1"/>
  <c r="L11" i="25"/>
  <c r="N11" i="25" s="1"/>
  <c r="L17" i="25"/>
  <c r="N17" i="25" s="1"/>
  <c r="L8" i="25"/>
  <c r="N8" i="25" s="1"/>
  <c r="L2" i="25"/>
  <c r="N2" i="25" s="1"/>
  <c r="L1" i="25"/>
  <c r="N1" i="25" s="1"/>
  <c r="L6" i="25"/>
  <c r="N6" i="25" s="1"/>
  <c r="L5" i="25"/>
  <c r="N5" i="25" s="1"/>
  <c r="L7" i="25"/>
  <c r="N7" i="25" s="1"/>
  <c r="L10" i="25"/>
  <c r="N10" i="25" s="1"/>
</calcChain>
</file>

<file path=xl/sharedStrings.xml><?xml version="1.0" encoding="utf-8"?>
<sst xmlns="http://schemas.openxmlformats.org/spreadsheetml/2006/main" count="309" uniqueCount="267">
  <si>
    <t>year</t>
  </si>
  <si>
    <t>Residents</t>
  </si>
  <si>
    <t>Non-residetns</t>
  </si>
  <si>
    <t>male(85+)</t>
  </si>
  <si>
    <t>female(85+)</t>
  </si>
  <si>
    <t>male(20;29)divorced</t>
  </si>
  <si>
    <t>male(30;39)divorced</t>
  </si>
  <si>
    <t>male(40;49)divorced</t>
  </si>
  <si>
    <t>male(50;59)divorced</t>
  </si>
  <si>
    <t>male(60;69)divorced</t>
  </si>
  <si>
    <t>female(20;29)divorced</t>
  </si>
  <si>
    <t>female(30;39)divorced</t>
  </si>
  <si>
    <t>female(40;49)divorced</t>
  </si>
  <si>
    <t>female(50;59)divorced</t>
  </si>
  <si>
    <t>female(60;69)divorced</t>
  </si>
  <si>
    <t>male(20;29)married</t>
  </si>
  <si>
    <t>male(30;39)married</t>
  </si>
  <si>
    <t>male(40;49)married</t>
  </si>
  <si>
    <t>male(50;59)married</t>
  </si>
  <si>
    <t>male(60;69)married</t>
  </si>
  <si>
    <t>female(20;29)married</t>
  </si>
  <si>
    <t>female(30;39)married</t>
  </si>
  <si>
    <t>female(40;49)married</t>
  </si>
  <si>
    <t>female(50;59)married</t>
  </si>
  <si>
    <t>female(60;69)married</t>
  </si>
  <si>
    <t>male(20;29)single</t>
  </si>
  <si>
    <t>male(30;39)single</t>
  </si>
  <si>
    <t>male(40;49)single</t>
  </si>
  <si>
    <t>male(50;59)single</t>
  </si>
  <si>
    <t>male(60;69)single</t>
  </si>
  <si>
    <t>female(20;29)single</t>
  </si>
  <si>
    <t>female(30;39)single</t>
  </si>
  <si>
    <t>female(40;49)single</t>
  </si>
  <si>
    <t>female(50;59)single</t>
  </si>
  <si>
    <t>female(60;69)single</t>
  </si>
  <si>
    <t>male(20;29)widowed</t>
  </si>
  <si>
    <t>male(30;39)widowed</t>
  </si>
  <si>
    <t>male(40;49)widowed</t>
  </si>
  <si>
    <t>male(50;59)widowed</t>
  </si>
  <si>
    <t>male(60;69)widowed</t>
  </si>
  <si>
    <t>female(20;29)widowed</t>
  </si>
  <si>
    <t>female(30;39)widowed</t>
  </si>
  <si>
    <t>female(40;49)widowed</t>
  </si>
  <si>
    <t>female(50;59)widowed</t>
  </si>
  <si>
    <t>female(60;69)widowed</t>
  </si>
  <si>
    <t>Year</t>
  </si>
  <si>
    <t>Model</t>
  </si>
  <si>
    <t>Real</t>
  </si>
  <si>
    <t>Males</t>
  </si>
  <si>
    <t>Females</t>
  </si>
  <si>
    <t>male(0+)</t>
  </si>
  <si>
    <t>male(1+)</t>
  </si>
  <si>
    <t>male(2+)</t>
  </si>
  <si>
    <t>male(3+)</t>
  </si>
  <si>
    <t>male(4+)</t>
  </si>
  <si>
    <t>male(5+)</t>
  </si>
  <si>
    <t>male(6+)</t>
  </si>
  <si>
    <t>male(7+)</t>
  </si>
  <si>
    <t>male(8+)</t>
  </si>
  <si>
    <t>male(9+)</t>
  </si>
  <si>
    <t>male(10+)</t>
  </si>
  <si>
    <t>male(11+)</t>
  </si>
  <si>
    <t>male(12+)</t>
  </si>
  <si>
    <t>male(13+)</t>
  </si>
  <si>
    <t>male(14+)</t>
  </si>
  <si>
    <t>male(15+)</t>
  </si>
  <si>
    <t>male(16+)</t>
  </si>
  <si>
    <t>male(17+)</t>
  </si>
  <si>
    <t>male(18+)</t>
  </si>
  <si>
    <t>male(19+)</t>
  </si>
  <si>
    <t>male(20+)</t>
  </si>
  <si>
    <t>male(21+)</t>
  </si>
  <si>
    <t>male(22+)</t>
  </si>
  <si>
    <t>male(23+)</t>
  </si>
  <si>
    <t>male(24+)</t>
  </si>
  <si>
    <t>male(25+)</t>
  </si>
  <si>
    <t>male(26+)</t>
  </si>
  <si>
    <t>male(27+)</t>
  </si>
  <si>
    <t>male(28+)</t>
  </si>
  <si>
    <t>male(29+)</t>
  </si>
  <si>
    <t>male(30+)</t>
  </si>
  <si>
    <t>male(31+)</t>
  </si>
  <si>
    <t>male(32+)</t>
  </si>
  <si>
    <t>male(33+)</t>
  </si>
  <si>
    <t>male(34+)</t>
  </si>
  <si>
    <t>male(35+)</t>
  </si>
  <si>
    <t>male(36+)</t>
  </si>
  <si>
    <t>male(37+)</t>
  </si>
  <si>
    <t>male(38+)</t>
  </si>
  <si>
    <t>male(39+)</t>
  </si>
  <si>
    <t>male(40+)</t>
  </si>
  <si>
    <t>male(41+)</t>
  </si>
  <si>
    <t>male(42+)</t>
  </si>
  <si>
    <t>male(43+)</t>
  </si>
  <si>
    <t>male(44+)</t>
  </si>
  <si>
    <t>male(45+)</t>
  </si>
  <si>
    <t>male(46+)</t>
  </si>
  <si>
    <t>male(47+)</t>
  </si>
  <si>
    <t>male(48+)</t>
  </si>
  <si>
    <t>male(49+)</t>
  </si>
  <si>
    <t>male(50+)</t>
  </si>
  <si>
    <t>male(51+)</t>
  </si>
  <si>
    <t>male(52+)</t>
  </si>
  <si>
    <t>male(53+)</t>
  </si>
  <si>
    <t>male(54+)</t>
  </si>
  <si>
    <t>male(55+)</t>
  </si>
  <si>
    <t>male(56+)</t>
  </si>
  <si>
    <t>male(57+)</t>
  </si>
  <si>
    <t>male(58+)</t>
  </si>
  <si>
    <t>male(59+)</t>
  </si>
  <si>
    <t>male(60+)</t>
  </si>
  <si>
    <t>male(61+)</t>
  </si>
  <si>
    <t>male(62+)</t>
  </si>
  <si>
    <t>male(63+)</t>
  </si>
  <si>
    <t>male(64+)</t>
  </si>
  <si>
    <t>male(65+)</t>
  </si>
  <si>
    <t>male(66+)</t>
  </si>
  <si>
    <t>male(67+)</t>
  </si>
  <si>
    <t>male(68+)</t>
  </si>
  <si>
    <t>male(69+)</t>
  </si>
  <si>
    <t>male(70+)</t>
  </si>
  <si>
    <t>male(71+)</t>
  </si>
  <si>
    <t>male(72+)</t>
  </si>
  <si>
    <t>male(73+)</t>
  </si>
  <si>
    <t>male(74+)</t>
  </si>
  <si>
    <t>male(75+)</t>
  </si>
  <si>
    <t>male(76+)</t>
  </si>
  <si>
    <t>male(77+)</t>
  </si>
  <si>
    <t>male(78+)</t>
  </si>
  <si>
    <t>male(79+)</t>
  </si>
  <si>
    <t>male(80+)</t>
  </si>
  <si>
    <t>male(81+)</t>
  </si>
  <si>
    <t>male(82+)</t>
  </si>
  <si>
    <t>male(83+)</t>
  </si>
  <si>
    <t>male(84+)</t>
  </si>
  <si>
    <t>male(86+)</t>
  </si>
  <si>
    <t>male(87+)</t>
  </si>
  <si>
    <t>male(88+)</t>
  </si>
  <si>
    <t>male(89+)</t>
  </si>
  <si>
    <t>male(90+)</t>
  </si>
  <si>
    <t>male(91+)</t>
  </si>
  <si>
    <t>male(92+)</t>
  </si>
  <si>
    <t>male(93+)</t>
  </si>
  <si>
    <t>male(94+)</t>
  </si>
  <si>
    <t>male(95+)</t>
  </si>
  <si>
    <t>male(96+)</t>
  </si>
  <si>
    <t>male(97+)</t>
  </si>
  <si>
    <t>male(98+)</t>
  </si>
  <si>
    <t>male(99+)</t>
  </si>
  <si>
    <t>female(0+)</t>
  </si>
  <si>
    <t>female(1+)</t>
  </si>
  <si>
    <t>female(2+)</t>
  </si>
  <si>
    <t>female(3+)</t>
  </si>
  <si>
    <t>female(4+)</t>
  </si>
  <si>
    <t>female(5+)</t>
  </si>
  <si>
    <t>female(6+)</t>
  </si>
  <si>
    <t>female(7+)</t>
  </si>
  <si>
    <t>female(8+)</t>
  </si>
  <si>
    <t>female(9+)</t>
  </si>
  <si>
    <t>female(10+)</t>
  </si>
  <si>
    <t>female(11+)</t>
  </si>
  <si>
    <t>female(12+)</t>
  </si>
  <si>
    <t>female(13+)</t>
  </si>
  <si>
    <t>female(14+)</t>
  </si>
  <si>
    <t>female(15+)</t>
  </si>
  <si>
    <t>female(16+)</t>
  </si>
  <si>
    <t>female(17+)</t>
  </si>
  <si>
    <t>female(18+)</t>
  </si>
  <si>
    <t>female(19+)</t>
  </si>
  <si>
    <t>female(20+)</t>
  </si>
  <si>
    <t>female(21+)</t>
  </si>
  <si>
    <t>female(22+)</t>
  </si>
  <si>
    <t>female(23+)</t>
  </si>
  <si>
    <t>female(24+)</t>
  </si>
  <si>
    <t>female(25+)</t>
  </si>
  <si>
    <t>female(26+)</t>
  </si>
  <si>
    <t>female(27+)</t>
  </si>
  <si>
    <t>female(28+)</t>
  </si>
  <si>
    <t>female(29+)</t>
  </si>
  <si>
    <t>female(30+)</t>
  </si>
  <si>
    <t>female(31+)</t>
  </si>
  <si>
    <t>female(32+)</t>
  </si>
  <si>
    <t>female(33+)</t>
  </si>
  <si>
    <t>female(34+)</t>
  </si>
  <si>
    <t>female(35+)</t>
  </si>
  <si>
    <t>female(36+)</t>
  </si>
  <si>
    <t>female(37+)</t>
  </si>
  <si>
    <t>female(38+)</t>
  </si>
  <si>
    <t>female(39+)</t>
  </si>
  <si>
    <t>female(40+)</t>
  </si>
  <si>
    <t>female(41+)</t>
  </si>
  <si>
    <t>female(42+)</t>
  </si>
  <si>
    <t>female(43+)</t>
  </si>
  <si>
    <t>female(44+)</t>
  </si>
  <si>
    <t>female(45+)</t>
  </si>
  <si>
    <t>female(46+)</t>
  </si>
  <si>
    <t>female(47+)</t>
  </si>
  <si>
    <t>female(48+)</t>
  </si>
  <si>
    <t>female(49+)</t>
  </si>
  <si>
    <t>female(50+)</t>
  </si>
  <si>
    <t>female(51+)</t>
  </si>
  <si>
    <t>female(52+)</t>
  </si>
  <si>
    <t>female(53+)</t>
  </si>
  <si>
    <t>female(54+)</t>
  </si>
  <si>
    <t>female(55+)</t>
  </si>
  <si>
    <t>female(56+)</t>
  </si>
  <si>
    <t>female(57+)</t>
  </si>
  <si>
    <t>female(58+)</t>
  </si>
  <si>
    <t>female(59+)</t>
  </si>
  <si>
    <t>female(60+)</t>
  </si>
  <si>
    <t>female(61+)</t>
  </si>
  <si>
    <t>female(62+)</t>
  </si>
  <si>
    <t>female(63+)</t>
  </si>
  <si>
    <t>female(64+)</t>
  </si>
  <si>
    <t>female(65+)</t>
  </si>
  <si>
    <t>female(66+)</t>
  </si>
  <si>
    <t>female(67+)</t>
  </si>
  <si>
    <t>female(68+)</t>
  </si>
  <si>
    <t>female(69+)</t>
  </si>
  <si>
    <t>female(70+)</t>
  </si>
  <si>
    <t>female(71+)</t>
  </si>
  <si>
    <t>female(72+)</t>
  </si>
  <si>
    <t>female(73+)</t>
  </si>
  <si>
    <t>female(74+)</t>
  </si>
  <si>
    <t>female(75+)</t>
  </si>
  <si>
    <t>female(76+)</t>
  </si>
  <si>
    <t>female(77+)</t>
  </si>
  <si>
    <t>female(78+)</t>
  </si>
  <si>
    <t>female(79+)</t>
  </si>
  <si>
    <t>female(80+)</t>
  </si>
  <si>
    <t>female(81+)</t>
  </si>
  <si>
    <t>female(82+)</t>
  </si>
  <si>
    <t>female(83+)</t>
  </si>
  <si>
    <t>female(84+)</t>
  </si>
  <si>
    <t>female(86+)</t>
  </si>
  <si>
    <t>female(87+)</t>
  </si>
  <si>
    <t>female(88+)</t>
  </si>
  <si>
    <t>female(89+)</t>
  </si>
  <si>
    <t>female(90+)</t>
  </si>
  <si>
    <t>female(91+)</t>
  </si>
  <si>
    <t>female(92+)</t>
  </si>
  <si>
    <t>female(93+)</t>
  </si>
  <si>
    <t>female(94+)</t>
  </si>
  <si>
    <t>female(95+)</t>
  </si>
  <si>
    <t>female(96+)</t>
  </si>
  <si>
    <t>female(97+)</t>
  </si>
  <si>
    <t>female(98+)</t>
  </si>
  <si>
    <t>female(99+)</t>
  </si>
  <si>
    <t xml:space="preserve">maleAverageAge </t>
  </si>
  <si>
    <t xml:space="preserve">femaleAverageAge </t>
  </si>
  <si>
    <t>male(70;79)divorced</t>
  </si>
  <si>
    <t>female(70;79)divorced</t>
  </si>
  <si>
    <t>male(70;79)married</t>
  </si>
  <si>
    <t>female(70;79)married</t>
  </si>
  <si>
    <t>male(70;79)single</t>
  </si>
  <si>
    <t>female(70;79)single</t>
  </si>
  <si>
    <t>male(70;79)widowed</t>
  </si>
  <si>
    <t>female(70;79)widowed</t>
  </si>
  <si>
    <t>male(80+)divorced</t>
  </si>
  <si>
    <t>female(80+)divorced</t>
  </si>
  <si>
    <t>male(80+)married</t>
  </si>
  <si>
    <t>female(80+)married</t>
  </si>
  <si>
    <t>male(80+)single</t>
  </si>
  <si>
    <t>female(80+)single</t>
  </si>
  <si>
    <t>male(80+)widowed</t>
  </si>
  <si>
    <t>female(80+)widowed</t>
  </si>
  <si>
    <t>kjk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</si>
</sst>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/>
              <a:t>Total Number of Residents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Residents!$B$1</c:f>
              <c:strCache>
                <c:ptCount val="1"/>
                <c:pt idx="0">
                  <c:v>Model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Residents!$A$2:$A$30</c:f>
              <c:numCache>
                <c:formatCode>General</c:formatCode>
                <c:ptCount val="29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</c:numCache>
            </c:numRef>
          </c:cat>
          <c:val>
            <c:numRef>
              <c:f>Residents!$B$2:$B$30</c:f>
              <c:numCache>
                <c:formatCode>General</c:formatCode>
                <c:ptCount val="29"/>
                <c:pt idx="0">
                  <c:v>2735862</c:v>
                </c:pt>
                <c:pt idx="1">
                  <c:v>2790350</c:v>
                </c:pt>
                <c:pt idx="2">
                  <c:v>2849225</c:v>
                </c:pt>
                <c:pt idx="3">
                  <c:v>2910879</c:v>
                </c:pt>
                <c:pt idx="4">
                  <c:v>2973316</c:v>
                </c:pt>
                <c:pt idx="5">
                  <c:v>3036851</c:v>
                </c:pt>
                <c:pt idx="6">
                  <c:v>3100020</c:v>
                </c:pt>
                <c:pt idx="7">
                  <c:v>3161849</c:v>
                </c:pt>
                <c:pt idx="8">
                  <c:v>3221116</c:v>
                </c:pt>
                <c:pt idx="9">
                  <c:v>3278084</c:v>
                </c:pt>
                <c:pt idx="10">
                  <c:v>3331728</c:v>
                </c:pt>
                <c:pt idx="11">
                  <c:v>3383062</c:v>
                </c:pt>
                <c:pt idx="12">
                  <c:v>3430888</c:v>
                </c:pt>
                <c:pt idx="13">
                  <c:v>3475871</c:v>
                </c:pt>
                <c:pt idx="14">
                  <c:v>3519268</c:v>
                </c:pt>
                <c:pt idx="15">
                  <c:v>3560103</c:v>
                </c:pt>
                <c:pt idx="16">
                  <c:v>3599061</c:v>
                </c:pt>
                <c:pt idx="17">
                  <c:v>3636797</c:v>
                </c:pt>
                <c:pt idx="18">
                  <c:v>3673974</c:v>
                </c:pt>
                <c:pt idx="19">
                  <c:v>3710389</c:v>
                </c:pt>
                <c:pt idx="20">
                  <c:v>3746420</c:v>
                </c:pt>
                <c:pt idx="21">
                  <c:v>3782469</c:v>
                </c:pt>
                <c:pt idx="22">
                  <c:v>3817983</c:v>
                </c:pt>
                <c:pt idx="23">
                  <c:v>3852828</c:v>
                </c:pt>
                <c:pt idx="24">
                  <c:v>3886657</c:v>
                </c:pt>
                <c:pt idx="25">
                  <c:v>3918984</c:v>
                </c:pt>
                <c:pt idx="26">
                  <c:v>3951195</c:v>
                </c:pt>
                <c:pt idx="27">
                  <c:v>3982239</c:v>
                </c:pt>
                <c:pt idx="28">
                  <c:v>4011088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EB-4CDD-81F4-4F163DBEDAEF}"/>
            </c:ext>
          </c:extLst>
        </c:ser>
        <c:ser>
          <c:idx val="1"/>
          <c:order val="1"/>
          <c:tx>
            <c:strRef>
              <c:f>Residents!$C$1</c:f>
              <c:strCache>
                <c:ptCount val="1"/>
                <c:pt idx="0">
                  <c:v>Real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Residents!$A$2:$A$30</c:f>
              <c:numCache>
                <c:formatCode>General</c:formatCode>
                <c:ptCount val="29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</c:numCache>
            </c:numRef>
          </c:cat>
          <c:val>
            <c:numRef>
              <c:f>Residents!$C$2:$C$30</c:f>
              <c:numCache>
                <c:formatCode>General</c:formatCode>
                <c:ptCount val="29"/>
                <c:pt idx="0">
                  <c:v>2735868</c:v>
                </c:pt>
                <c:pt idx="1">
                  <c:v>2794704</c:v>
                </c:pt>
                <c:pt idx="2">
                  <c:v>2849753</c:v>
                </c:pt>
                <c:pt idx="3">
                  <c:v>2904546</c:v>
                </c:pt>
                <c:pt idx="4">
                  <c:v>2959351</c:v>
                </c:pt>
                <c:pt idx="5">
                  <c:v>3013518</c:v>
                </c:pt>
                <c:pt idx="6">
                  <c:v>3068130</c:v>
                </c:pt>
                <c:pt idx="7">
                  <c:v>3123403</c:v>
                </c:pt>
                <c:pt idx="8">
                  <c:v>3180019</c:v>
                </c:pt>
                <c:pt idx="9">
                  <c:v>3229681</c:v>
                </c:pt>
                <c:pt idx="10">
                  <c:v>3273363</c:v>
                </c:pt>
                <c:pt idx="11">
                  <c:v>3325902</c:v>
                </c:pt>
                <c:pt idx="12">
                  <c:v>3382944</c:v>
                </c:pt>
                <c:pt idx="13">
                  <c:v>3366891</c:v>
                </c:pt>
                <c:pt idx="14">
                  <c:v>3413266</c:v>
                </c:pt>
                <c:pt idx="15">
                  <c:v>3467814</c:v>
                </c:pt>
                <c:pt idx="16">
                  <c:v>3525894</c:v>
                </c:pt>
                <c:pt idx="17">
                  <c:v>3583082</c:v>
                </c:pt>
                <c:pt idx="18">
                  <c:v>3642659</c:v>
                </c:pt>
                <c:pt idx="19">
                  <c:v>3733876</c:v>
                </c:pt>
                <c:pt idx="20">
                  <c:v>3771721</c:v>
                </c:pt>
                <c:pt idx="21">
                  <c:v>3789251</c:v>
                </c:pt>
                <c:pt idx="22">
                  <c:v>3818205</c:v>
                </c:pt>
                <c:pt idx="23">
                  <c:v>3844751</c:v>
                </c:pt>
                <c:pt idx="24">
                  <c:v>3870739</c:v>
                </c:pt>
                <c:pt idx="25">
                  <c:v>3902690</c:v>
                </c:pt>
                <c:pt idx="26">
                  <c:v>3933559</c:v>
                </c:pt>
                <c:pt idx="27">
                  <c:v>3965796</c:v>
                </c:pt>
                <c:pt idx="28">
                  <c:v>3994283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EB-4CDD-81F4-4F163DBEDA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994944"/>
        <c:axId val="138996192"/>
      </c:lineChart>
      <c:catAx>
        <c:axId val="138994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96192"/>
        <c:crosses val="autoZero"/>
        <c:auto val="1"/>
        <c:lblAlgn val="ctr"/>
        <c:lblOffset val="100"/>
        <c:noMultiLvlLbl val="0"/>
      </c:catAx>
      <c:valAx>
        <c:axId val="138996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94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/>
              <a:t>Total number of non-residents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'Non-residents'!$B$1</c:f>
              <c:strCache>
                <c:ptCount val="1"/>
                <c:pt idx="0">
                  <c:v>Model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'Non-residents'!$A$2:$A$31</c:f>
              <c:numCache>
                <c:formatCode>General</c:formatCode>
                <c:ptCount val="30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</c:numCache>
            </c:numRef>
          </c:cat>
          <c:val>
            <c:numRef>
              <c:f>'Non-residents'!$B$2:$B$31</c:f>
              <c:numCache>
                <c:formatCode>General</c:formatCode>
                <c:ptCount val="30"/>
                <c:pt idx="0">
                  <c:v>246389</c:v>
                </c:pt>
                <c:pt idx="1">
                  <c:v>310676</c:v>
                </c:pt>
                <c:pt idx="2">
                  <c:v>375760</c:v>
                </c:pt>
                <c:pt idx="3">
                  <c:v>439052</c:v>
                </c:pt>
                <c:pt idx="4">
                  <c:v>497903</c:v>
                </c:pt>
                <c:pt idx="5">
                  <c:v>549981</c:v>
                </c:pt>
                <c:pt idx="6">
                  <c:v>593639</c:v>
                </c:pt>
                <c:pt idx="7">
                  <c:v>628201</c:v>
                </c:pt>
                <c:pt idx="8">
                  <c:v>654152</c:v>
                </c:pt>
                <c:pt idx="9">
                  <c:v>673177</c:v>
                </c:pt>
                <c:pt idx="10">
                  <c:v>688062</c:v>
                </c:pt>
                <c:pt idx="11">
                  <c:v>702437</c:v>
                </c:pt>
                <c:pt idx="12">
                  <c:v>720402</c:v>
                </c:pt>
                <c:pt idx="13">
                  <c:v>746068</c:v>
                </c:pt>
                <c:pt idx="14">
                  <c:v>783057</c:v>
                </c:pt>
                <c:pt idx="15">
                  <c:v>834038</c:v>
                </c:pt>
                <c:pt idx="16">
                  <c:v>900325</c:v>
                </c:pt>
                <c:pt idx="17">
                  <c:v>981622</c:v>
                </c:pt>
                <c:pt idx="18">
                  <c:v>1075922</c:v>
                </c:pt>
                <c:pt idx="19">
                  <c:v>1179610</c:v>
                </c:pt>
                <c:pt idx="20">
                  <c:v>1287743</c:v>
                </c:pt>
                <c:pt idx="21">
                  <c:v>1394500</c:v>
                </c:pt>
                <c:pt idx="22">
                  <c:v>1493765</c:v>
                </c:pt>
                <c:pt idx="23">
                  <c:v>1579774</c:v>
                </c:pt>
                <c:pt idx="24">
                  <c:v>1647761</c:v>
                </c:pt>
                <c:pt idx="25">
                  <c:v>1694539</c:v>
                </c:pt>
                <c:pt idx="26">
                  <c:v>1718942</c:v>
                </c:pt>
                <c:pt idx="27">
                  <c:v>1722072</c:v>
                </c:pt>
                <c:pt idx="28">
                  <c:v>1707320</c:v>
                </c:pt>
                <c:pt idx="29">
                  <c:v>1680144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45-4021-A93E-DC424B405699}"/>
            </c:ext>
          </c:extLst>
        </c:ser>
        <c:ser>
          <c:idx val="1"/>
          <c:order val="1"/>
          <c:tx>
            <c:strRef>
              <c:f>'Non-residents'!$C$1</c:f>
              <c:strCache>
                <c:ptCount val="1"/>
                <c:pt idx="0">
                  <c:v>Real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'Non-residents'!$A$2:$A$31</c:f>
              <c:numCache>
                <c:formatCode>General</c:formatCode>
                <c:ptCount val="30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</c:numCache>
            </c:numRef>
          </c:cat>
          <c:val>
            <c:numRef>
              <c:f>'Non-residents'!$C$2:$C$31</c:f>
              <c:numCache>
                <c:formatCode>General</c:formatCode>
                <c:ptCount val="30"/>
                <c:pt idx="0">
                  <c:v>311264</c:v>
                </c:pt>
                <c:pt idx="1">
                  <c:v>340379</c:v>
                </c:pt>
                <c:pt idx="2">
                  <c:v>380944</c:v>
                </c:pt>
                <c:pt idx="3">
                  <c:v>408924</c:v>
                </c:pt>
                <c:pt idx="4">
                  <c:v>459698</c:v>
                </c:pt>
                <c:pt idx="5">
                  <c:v>510991</c:v>
                </c:pt>
                <c:pt idx="6">
                  <c:v>602572</c:v>
                </c:pt>
                <c:pt idx="7">
                  <c:v>672635</c:v>
                </c:pt>
                <c:pt idx="8">
                  <c:v>747195</c:v>
                </c:pt>
                <c:pt idx="9">
                  <c:v>729042</c:v>
                </c:pt>
                <c:pt idx="10">
                  <c:v>754524</c:v>
                </c:pt>
                <c:pt idx="11">
                  <c:v>812110</c:v>
                </c:pt>
                <c:pt idx="12">
                  <c:v>793006</c:v>
                </c:pt>
                <c:pt idx="13">
                  <c:v>747935</c:v>
                </c:pt>
                <c:pt idx="14">
                  <c:v>753398</c:v>
                </c:pt>
                <c:pt idx="15">
                  <c:v>797948</c:v>
                </c:pt>
                <c:pt idx="16">
                  <c:v>875471</c:v>
                </c:pt>
                <c:pt idx="17">
                  <c:v>1005517</c:v>
                </c:pt>
                <c:pt idx="18">
                  <c:v>1196737</c:v>
                </c:pt>
                <c:pt idx="19">
                  <c:v>1253697</c:v>
                </c:pt>
                <c:pt idx="20">
                  <c:v>1305011</c:v>
                </c:pt>
                <c:pt idx="21">
                  <c:v>1394437</c:v>
                </c:pt>
                <c:pt idx="22">
                  <c:v>1494232</c:v>
                </c:pt>
                <c:pt idx="23">
                  <c:v>1554411</c:v>
                </c:pt>
                <c:pt idx="24">
                  <c:v>1598985</c:v>
                </c:pt>
                <c:pt idx="25">
                  <c:v>1632312</c:v>
                </c:pt>
                <c:pt idx="26">
                  <c:v>1673724</c:v>
                </c:pt>
                <c:pt idx="27">
                  <c:v>1646457</c:v>
                </c:pt>
                <c:pt idx="28">
                  <c:v>1644393</c:v>
                </c:pt>
                <c:pt idx="29">
                  <c:v>1677360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45-4021-A93E-DC424B4056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1296080"/>
        <c:axId val="431297328"/>
      </c:lineChart>
      <c:catAx>
        <c:axId val="431296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297328"/>
        <c:crosses val="autoZero"/>
        <c:auto val="1"/>
        <c:lblAlgn val="ctr"/>
        <c:lblOffset val="100"/>
        <c:noMultiLvlLbl val="0"/>
      </c:catAx>
      <c:valAx>
        <c:axId val="431297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296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Total!$B$1</c:f>
              <c:strCache>
                <c:ptCount val="1"/>
                <c:pt idx="0">
                  <c:v>Model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Total!$A$2:$A$30</c:f>
              <c:numCache>
                <c:formatCode>General</c:formatCode>
                <c:ptCount val="29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</c:numCache>
            </c:numRef>
          </c:cat>
          <c:val>
            <c:numRef>
              <c:f>Total!$B$2:$B$30</c:f>
              <c:numCache>
                <c:formatCode>General</c:formatCode>
                <c:ptCount val="29"/>
                <c:pt idx="0">
                  <c:v>2982251</c:v>
                </c:pt>
                <c:pt idx="1">
                  <c:v>3101026</c:v>
                </c:pt>
                <c:pt idx="2">
                  <c:v>3224985</c:v>
                </c:pt>
                <c:pt idx="3">
                  <c:v>3349931</c:v>
                </c:pt>
                <c:pt idx="4">
                  <c:v>3471219</c:v>
                </c:pt>
                <c:pt idx="5">
                  <c:v>3586832</c:v>
                </c:pt>
                <c:pt idx="6">
                  <c:v>3693659</c:v>
                </c:pt>
                <c:pt idx="7">
                  <c:v>3790050</c:v>
                </c:pt>
                <c:pt idx="8">
                  <c:v>3875268</c:v>
                </c:pt>
                <c:pt idx="9">
                  <c:v>3951261</c:v>
                </c:pt>
                <c:pt idx="10">
                  <c:v>4019790</c:v>
                </c:pt>
                <c:pt idx="11">
                  <c:v>4085499</c:v>
                </c:pt>
                <c:pt idx="12">
                  <c:v>4151290</c:v>
                </c:pt>
                <c:pt idx="13">
                  <c:v>4221939</c:v>
                </c:pt>
                <c:pt idx="14">
                  <c:v>4302325</c:v>
                </c:pt>
                <c:pt idx="15">
                  <c:v>4394141</c:v>
                </c:pt>
                <c:pt idx="16">
                  <c:v>4499386</c:v>
                </c:pt>
                <c:pt idx="17">
                  <c:v>4618419</c:v>
                </c:pt>
                <c:pt idx="18">
                  <c:v>4749896</c:v>
                </c:pt>
                <c:pt idx="19">
                  <c:v>4889999</c:v>
                </c:pt>
                <c:pt idx="20">
                  <c:v>5034163</c:v>
                </c:pt>
                <c:pt idx="21">
                  <c:v>5176969</c:v>
                </c:pt>
                <c:pt idx="22">
                  <c:v>5311748</c:v>
                </c:pt>
                <c:pt idx="23">
                  <c:v>5432602</c:v>
                </c:pt>
                <c:pt idx="24">
                  <c:v>5534418</c:v>
                </c:pt>
                <c:pt idx="25">
                  <c:v>5613523</c:v>
                </c:pt>
                <c:pt idx="26">
                  <c:v>5670137</c:v>
                </c:pt>
                <c:pt idx="27">
                  <c:v>5704311</c:v>
                </c:pt>
                <c:pt idx="28">
                  <c:v>5718408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86-4DDD-90A2-9897FC78F3D7}"/>
            </c:ext>
          </c:extLst>
        </c:ser>
        <c:ser>
          <c:idx val="1"/>
          <c:order val="1"/>
          <c:tx>
            <c:strRef>
              <c:f>Total!$C$1</c:f>
              <c:strCache>
                <c:ptCount val="1"/>
                <c:pt idx="0">
                  <c:v>Real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Total!$A$2:$A$30</c:f>
              <c:numCache>
                <c:formatCode>General</c:formatCode>
                <c:ptCount val="29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</c:numCache>
            </c:numRef>
          </c:cat>
          <c:val>
            <c:numRef>
              <c:f>Total!$C$2:$C$30</c:f>
              <c:numCache>
                <c:formatCode>General</c:formatCode>
                <c:ptCount val="29"/>
                <c:pt idx="0">
                  <c:v>3047132</c:v>
                </c:pt>
                <c:pt idx="1">
                  <c:v>3135083</c:v>
                </c:pt>
                <c:pt idx="2">
                  <c:v>3230697</c:v>
                </c:pt>
                <c:pt idx="3">
                  <c:v>3313470</c:v>
                </c:pt>
                <c:pt idx="4">
                  <c:v>3419049</c:v>
                </c:pt>
                <c:pt idx="5">
                  <c:v>3524509</c:v>
                </c:pt>
                <c:pt idx="6">
                  <c:v>3670702</c:v>
                </c:pt>
                <c:pt idx="7">
                  <c:v>3796038</c:v>
                </c:pt>
                <c:pt idx="8">
                  <c:v>3927214</c:v>
                </c:pt>
                <c:pt idx="9">
                  <c:v>3958723</c:v>
                </c:pt>
                <c:pt idx="10">
                  <c:v>4027887</c:v>
                </c:pt>
                <c:pt idx="11">
                  <c:v>4138012</c:v>
                </c:pt>
                <c:pt idx="12">
                  <c:v>4175950</c:v>
                </c:pt>
                <c:pt idx="13">
                  <c:v>4114826</c:v>
                </c:pt>
                <c:pt idx="14">
                  <c:v>4166664</c:v>
                </c:pt>
                <c:pt idx="15">
                  <c:v>4265762</c:v>
                </c:pt>
                <c:pt idx="16">
                  <c:v>4401365</c:v>
                </c:pt>
                <c:pt idx="17">
                  <c:v>4588599</c:v>
                </c:pt>
                <c:pt idx="18">
                  <c:v>4839396</c:v>
                </c:pt>
                <c:pt idx="19">
                  <c:v>4987573</c:v>
                </c:pt>
                <c:pt idx="20">
                  <c:v>5076732</c:v>
                </c:pt>
                <c:pt idx="21">
                  <c:v>5183688</c:v>
                </c:pt>
                <c:pt idx="22">
                  <c:v>5312437</c:v>
                </c:pt>
                <c:pt idx="23">
                  <c:v>5399162</c:v>
                </c:pt>
                <c:pt idx="24">
                  <c:v>5469724</c:v>
                </c:pt>
                <c:pt idx="25">
                  <c:v>5535002</c:v>
                </c:pt>
                <c:pt idx="26">
                  <c:v>5607283</c:v>
                </c:pt>
                <c:pt idx="27">
                  <c:v>5612253</c:v>
                </c:pt>
                <c:pt idx="28">
                  <c:v>5638676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86-4DDD-90A2-9897FC78F3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9651872"/>
        <c:axId val="1839653120"/>
      </c:lineChart>
      <c:catAx>
        <c:axId val="1839651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9653120"/>
        <c:crosses val="autoZero"/>
        <c:auto val="1"/>
        <c:lblAlgn val="ctr"/>
        <c:lblOffset val="100"/>
        <c:noMultiLvlLbl val="0"/>
      </c:catAx>
      <c:valAx>
        <c:axId val="1839653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9651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Males!$B$1</c:f>
              <c:strCache>
                <c:ptCount val="1"/>
                <c:pt idx="0">
                  <c:v>Model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Males!$A$2:$A$30</c:f>
              <c:numCache>
                <c:formatCode>General</c:formatCode>
                <c:ptCount val="29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</c:numCache>
            </c:numRef>
          </c:cat>
          <c:val>
            <c:numRef>
              <c:f>Males!$B$2:$B$30</c:f>
              <c:numCache>
                <c:formatCode>General</c:formatCode>
                <c:ptCount val="29"/>
                <c:pt idx="0">
                  <c:v>1386293</c:v>
                </c:pt>
                <c:pt idx="1">
                  <c:v>1411319</c:v>
                </c:pt>
                <c:pt idx="2">
                  <c:v>1438645</c:v>
                </c:pt>
                <c:pt idx="3">
                  <c:v>1467789</c:v>
                </c:pt>
                <c:pt idx="4">
                  <c:v>1497402</c:v>
                </c:pt>
                <c:pt idx="5">
                  <c:v>1527705</c:v>
                </c:pt>
                <c:pt idx="6">
                  <c:v>1557819</c:v>
                </c:pt>
                <c:pt idx="7">
                  <c:v>1587484</c:v>
                </c:pt>
                <c:pt idx="8">
                  <c:v>1615869</c:v>
                </c:pt>
                <c:pt idx="9">
                  <c:v>1643482</c:v>
                </c:pt>
                <c:pt idx="10">
                  <c:v>1669444</c:v>
                </c:pt>
                <c:pt idx="11">
                  <c:v>1694024</c:v>
                </c:pt>
                <c:pt idx="12">
                  <c:v>1717173</c:v>
                </c:pt>
                <c:pt idx="13">
                  <c:v>1738572</c:v>
                </c:pt>
                <c:pt idx="14">
                  <c:v>1759354</c:v>
                </c:pt>
                <c:pt idx="15">
                  <c:v>1779042</c:v>
                </c:pt>
                <c:pt idx="16">
                  <c:v>1797548</c:v>
                </c:pt>
                <c:pt idx="17">
                  <c:v>1815737</c:v>
                </c:pt>
                <c:pt idx="18">
                  <c:v>1833570</c:v>
                </c:pt>
                <c:pt idx="19">
                  <c:v>1850796</c:v>
                </c:pt>
                <c:pt idx="20">
                  <c:v>1868161</c:v>
                </c:pt>
                <c:pt idx="21">
                  <c:v>1885275</c:v>
                </c:pt>
                <c:pt idx="22">
                  <c:v>1902236</c:v>
                </c:pt>
                <c:pt idx="23">
                  <c:v>1918852</c:v>
                </c:pt>
                <c:pt idx="24">
                  <c:v>1934916</c:v>
                </c:pt>
                <c:pt idx="25">
                  <c:v>1949990</c:v>
                </c:pt>
                <c:pt idx="26">
                  <c:v>1964930</c:v>
                </c:pt>
                <c:pt idx="27">
                  <c:v>1979370</c:v>
                </c:pt>
                <c:pt idx="28">
                  <c:v>1992306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16-4C72-B166-EEBF5CA23FBB}"/>
            </c:ext>
          </c:extLst>
        </c:ser>
        <c:ser>
          <c:idx val="1"/>
          <c:order val="1"/>
          <c:tx>
            <c:strRef>
              <c:f>Males!$C$1</c:f>
              <c:strCache>
                <c:ptCount val="1"/>
                <c:pt idx="0">
                  <c:v>Real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Males!$A$2:$A$30</c:f>
              <c:numCache>
                <c:formatCode>General</c:formatCode>
                <c:ptCount val="29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</c:numCache>
            </c:numRef>
          </c:cat>
          <c:val>
            <c:numRef>
              <c:f>Males!$C$2:$C$30</c:f>
              <c:numCache>
                <c:formatCode>General</c:formatCode>
                <c:ptCount val="29"/>
                <c:pt idx="0">
                  <c:v>1386291</c:v>
                </c:pt>
                <c:pt idx="1">
                  <c:v>1414309</c:v>
                </c:pt>
                <c:pt idx="2">
                  <c:v>1439064</c:v>
                </c:pt>
                <c:pt idx="3">
                  <c:v>1464223</c:v>
                </c:pt>
                <c:pt idx="4">
                  <c:v>1489181</c:v>
                </c:pt>
                <c:pt idx="5">
                  <c:v>1514020</c:v>
                </c:pt>
                <c:pt idx="6">
                  <c:v>1540018</c:v>
                </c:pt>
                <c:pt idx="7">
                  <c:v>1565751</c:v>
                </c:pt>
                <c:pt idx="8">
                  <c:v>1591816</c:v>
                </c:pt>
                <c:pt idx="9">
                  <c:v>1614805</c:v>
                </c:pt>
                <c:pt idx="10">
                  <c:v>1634667</c:v>
                </c:pt>
                <c:pt idx="11">
                  <c:v>1658558</c:v>
                </c:pt>
                <c:pt idx="12">
                  <c:v>1684295</c:v>
                </c:pt>
                <c:pt idx="13">
                  <c:v>1673401</c:v>
                </c:pt>
                <c:pt idx="14">
                  <c:v>1695031</c:v>
                </c:pt>
                <c:pt idx="15">
                  <c:v>1721139</c:v>
                </c:pt>
                <c:pt idx="16">
                  <c:v>1748242</c:v>
                </c:pt>
                <c:pt idx="17">
                  <c:v>1775477</c:v>
                </c:pt>
                <c:pt idx="18">
                  <c:v>1802992</c:v>
                </c:pt>
                <c:pt idx="19">
                  <c:v>1844732</c:v>
                </c:pt>
                <c:pt idx="20">
                  <c:v>1861133</c:v>
                </c:pt>
                <c:pt idx="21">
                  <c:v>1868170</c:v>
                </c:pt>
                <c:pt idx="22">
                  <c:v>1880046</c:v>
                </c:pt>
                <c:pt idx="23">
                  <c:v>1891504</c:v>
                </c:pt>
                <c:pt idx="24">
                  <c:v>1902410</c:v>
                </c:pt>
                <c:pt idx="25">
                  <c:v>1916628</c:v>
                </c:pt>
                <c:pt idx="26">
                  <c:v>1929526</c:v>
                </c:pt>
                <c:pt idx="27">
                  <c:v>1943545</c:v>
                </c:pt>
                <c:pt idx="28">
                  <c:v>1955838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16-4C72-B166-EEBF5CA23F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2413824"/>
        <c:axId val="1972416736"/>
      </c:lineChart>
      <c:catAx>
        <c:axId val="1972413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2416736"/>
        <c:crosses val="autoZero"/>
        <c:auto val="1"/>
        <c:lblAlgn val="ctr"/>
        <c:lblOffset val="100"/>
        <c:noMultiLvlLbl val="0"/>
      </c:catAx>
      <c:valAx>
        <c:axId val="1972416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2413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Females!$B$1</c:f>
              <c:strCache>
                <c:ptCount val="1"/>
                <c:pt idx="0">
                  <c:v>Model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Females!$A$2:$A$30</c:f>
              <c:numCache>
                <c:formatCode>General</c:formatCode>
                <c:ptCount val="29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</c:numCache>
            </c:numRef>
          </c:cat>
          <c:val>
            <c:numRef>
              <c:f>Females!$B$2:$B$30</c:f>
              <c:numCache>
                <c:formatCode>General</c:formatCode>
                <c:ptCount val="29"/>
                <c:pt idx="0">
                  <c:v>1349569</c:v>
                </c:pt>
                <c:pt idx="1">
                  <c:v>1379031</c:v>
                </c:pt>
                <c:pt idx="2">
                  <c:v>1410580</c:v>
                </c:pt>
                <c:pt idx="3">
                  <c:v>1443090</c:v>
                </c:pt>
                <c:pt idx="4">
                  <c:v>1475914</c:v>
                </c:pt>
                <c:pt idx="5">
                  <c:v>1509146</c:v>
                </c:pt>
                <c:pt idx="6">
                  <c:v>1542201</c:v>
                </c:pt>
                <c:pt idx="7">
                  <c:v>1574365</c:v>
                </c:pt>
                <c:pt idx="8">
                  <c:v>1605247</c:v>
                </c:pt>
                <c:pt idx="9">
                  <c:v>1634602</c:v>
                </c:pt>
                <c:pt idx="10">
                  <c:v>1662284</c:v>
                </c:pt>
                <c:pt idx="11">
                  <c:v>1689038</c:v>
                </c:pt>
                <c:pt idx="12">
                  <c:v>1713715</c:v>
                </c:pt>
                <c:pt idx="13">
                  <c:v>1737299</c:v>
                </c:pt>
                <c:pt idx="14">
                  <c:v>1759914</c:v>
                </c:pt>
                <c:pt idx="15">
                  <c:v>1781061</c:v>
                </c:pt>
                <c:pt idx="16">
                  <c:v>1801513</c:v>
                </c:pt>
                <c:pt idx="17">
                  <c:v>1821060</c:v>
                </c:pt>
                <c:pt idx="18">
                  <c:v>1840404</c:v>
                </c:pt>
                <c:pt idx="19">
                  <c:v>1859593</c:v>
                </c:pt>
                <c:pt idx="20">
                  <c:v>1878259</c:v>
                </c:pt>
                <c:pt idx="21">
                  <c:v>1897194</c:v>
                </c:pt>
                <c:pt idx="22">
                  <c:v>1915747</c:v>
                </c:pt>
                <c:pt idx="23">
                  <c:v>1933976</c:v>
                </c:pt>
                <c:pt idx="24">
                  <c:v>1951741</c:v>
                </c:pt>
                <c:pt idx="25">
                  <c:v>1968994</c:v>
                </c:pt>
                <c:pt idx="26">
                  <c:v>1986265</c:v>
                </c:pt>
                <c:pt idx="27">
                  <c:v>2002869</c:v>
                </c:pt>
                <c:pt idx="28">
                  <c:v>2018782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52-4C6B-A327-23B226C69A12}"/>
            </c:ext>
          </c:extLst>
        </c:ser>
        <c:ser>
          <c:idx val="1"/>
          <c:order val="1"/>
          <c:tx>
            <c:strRef>
              <c:f>Females!$C$1</c:f>
              <c:strCache>
                <c:ptCount val="1"/>
                <c:pt idx="0">
                  <c:v>Real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Females!$A$2:$A$30</c:f>
              <c:numCache>
                <c:formatCode>General</c:formatCode>
                <c:ptCount val="29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</c:numCache>
            </c:numRef>
          </c:cat>
          <c:val>
            <c:numRef>
              <c:f>Females!$C$2:$C$30</c:f>
              <c:numCache>
                <c:formatCode>General</c:formatCode>
                <c:ptCount val="29"/>
                <c:pt idx="0">
                  <c:v>1349577</c:v>
                </c:pt>
                <c:pt idx="1">
                  <c:v>1380398</c:v>
                </c:pt>
                <c:pt idx="2">
                  <c:v>1410689</c:v>
                </c:pt>
                <c:pt idx="3">
                  <c:v>1440326</c:v>
                </c:pt>
                <c:pt idx="4">
                  <c:v>1470169</c:v>
                </c:pt>
                <c:pt idx="5">
                  <c:v>1499504</c:v>
                </c:pt>
                <c:pt idx="6">
                  <c:v>1528112</c:v>
                </c:pt>
                <c:pt idx="7">
                  <c:v>1557652</c:v>
                </c:pt>
                <c:pt idx="8">
                  <c:v>1588202</c:v>
                </c:pt>
                <c:pt idx="9">
                  <c:v>1614877</c:v>
                </c:pt>
                <c:pt idx="10">
                  <c:v>1638696</c:v>
                </c:pt>
                <c:pt idx="11">
                  <c:v>1667344</c:v>
                </c:pt>
                <c:pt idx="12">
                  <c:v>1698649</c:v>
                </c:pt>
                <c:pt idx="13">
                  <c:v>1693490</c:v>
                </c:pt>
                <c:pt idx="14">
                  <c:v>1718235</c:v>
                </c:pt>
                <c:pt idx="15">
                  <c:v>1746675</c:v>
                </c:pt>
                <c:pt idx="16">
                  <c:v>1777652</c:v>
                </c:pt>
                <c:pt idx="17">
                  <c:v>1807605</c:v>
                </c:pt>
                <c:pt idx="18">
                  <c:v>1839667</c:v>
                </c:pt>
                <c:pt idx="19">
                  <c:v>1889144</c:v>
                </c:pt>
                <c:pt idx="20">
                  <c:v>1910588</c:v>
                </c:pt>
                <c:pt idx="21">
                  <c:v>1921081</c:v>
                </c:pt>
                <c:pt idx="22">
                  <c:v>1938159</c:v>
                </c:pt>
                <c:pt idx="23">
                  <c:v>1953247</c:v>
                </c:pt>
                <c:pt idx="24">
                  <c:v>1968329</c:v>
                </c:pt>
                <c:pt idx="25">
                  <c:v>1986062</c:v>
                </c:pt>
                <c:pt idx="26">
                  <c:v>2004033</c:v>
                </c:pt>
                <c:pt idx="27">
                  <c:v>2022251</c:v>
                </c:pt>
                <c:pt idx="28">
                  <c:v>2038445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52-4C6B-A327-23B226C69A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2426720"/>
        <c:axId val="1972413824"/>
      </c:lineChart>
      <c:catAx>
        <c:axId val="1972426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2413824"/>
        <c:crosses val="autoZero"/>
        <c:auto val="1"/>
        <c:lblAlgn val="ctr"/>
        <c:lblOffset val="100"/>
        <c:noMultiLvlLbl val="0"/>
      </c:catAx>
      <c:valAx>
        <c:axId val="1972413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2426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2665010280308368E-2"/>
          <c:y val="8.8183547313361879E-2"/>
          <c:w val="0.95425283378039283"/>
          <c:h val="0.80227440364533609"/>
        </c:manualLayout>
      </c:layout>
      <c:lineChart>
        <c:grouping val="standard"/>
        <c:varyColors val="0"/>
        <c:ser>
          <c:idx val="0"/>
          <c:order val="0"/>
          <c:tx>
            <c:strRef>
              <c:f>'Males AverageAge'!$B$1</c:f>
              <c:strCache>
                <c:ptCount val="1"/>
                <c:pt idx="0">
                  <c:v>Model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'Males AverageAge'!$A$2:$A$30</c:f>
              <c:numCache>
                <c:formatCode>General</c:formatCode>
                <c:ptCount val="29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</c:numCache>
            </c:numRef>
          </c:cat>
          <c:val>
            <c:numRef>
              <c:f>'Males AverageAge'!$B$2:$B$30</c:f>
              <c:numCache>
                <c:formatCode>General</c:formatCode>
                <c:ptCount val="29"/>
                <c:pt idx="0">
                  <c:v>30.1919998153348</c:v>
                </c:pt>
                <c:pt idx="1">
                  <c:v>30.449647457449299</c:v>
                </c:pt>
                <c:pt idx="2">
                  <c:v>30.704028443431099</c:v>
                </c:pt>
                <c:pt idx="3">
                  <c:v>30.955402990484298</c:v>
                </c:pt>
                <c:pt idx="4">
                  <c:v>31.212742469957899</c:v>
                </c:pt>
                <c:pt idx="5">
                  <c:v>31.467138616421298</c:v>
                </c:pt>
                <c:pt idx="6">
                  <c:v>31.742882838121702</c:v>
                </c:pt>
                <c:pt idx="7">
                  <c:v>32.0277174447112</c:v>
                </c:pt>
                <c:pt idx="8">
                  <c:v>32.329475966182898</c:v>
                </c:pt>
                <c:pt idx="9">
                  <c:v>32.642217560034098</c:v>
                </c:pt>
                <c:pt idx="10">
                  <c:v>32.9811871497336</c:v>
                </c:pt>
                <c:pt idx="11">
                  <c:v>33.330750139618701</c:v>
                </c:pt>
                <c:pt idx="12">
                  <c:v>33.695622039429402</c:v>
                </c:pt>
                <c:pt idx="13">
                  <c:v>34.073748890424199</c:v>
                </c:pt>
                <c:pt idx="14">
                  <c:v>34.465811069326101</c:v>
                </c:pt>
                <c:pt idx="15">
                  <c:v>34.862553931231098</c:v>
                </c:pt>
                <c:pt idx="16">
                  <c:v>35.264705882352899</c:v>
                </c:pt>
                <c:pt idx="17">
                  <c:v>35.667508611804102</c:v>
                </c:pt>
                <c:pt idx="18">
                  <c:v>36.0644201131459</c:v>
                </c:pt>
                <c:pt idx="19">
                  <c:v>36.459837196594698</c:v>
                </c:pt>
                <c:pt idx="20">
                  <c:v>36.847960024031799</c:v>
                </c:pt>
                <c:pt idx="21">
                  <c:v>37.225109001505302</c:v>
                </c:pt>
                <c:pt idx="22">
                  <c:v>37.594631862156298</c:v>
                </c:pt>
                <c:pt idx="23">
                  <c:v>37.954896469170102</c:v>
                </c:pt>
                <c:pt idx="24">
                  <c:v>38.307063596044401</c:v>
                </c:pt>
                <c:pt idx="25">
                  <c:v>38.658436515909102</c:v>
                </c:pt>
                <c:pt idx="26">
                  <c:v>38.994089100860002</c:v>
                </c:pt>
                <c:pt idx="27">
                  <c:v>39.325806291820797</c:v>
                </c:pt>
                <c:pt idx="28">
                  <c:v>39.660430544060802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B9-4CB4-86C5-6472249A2B2A}"/>
            </c:ext>
          </c:extLst>
        </c:ser>
        <c:ser>
          <c:idx val="1"/>
          <c:order val="1"/>
          <c:tx>
            <c:strRef>
              <c:f>'Males AverageAge'!$C$1</c:f>
              <c:strCache>
                <c:ptCount val="1"/>
                <c:pt idx="0">
                  <c:v>Real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'Males AverageAge'!$A$2:$A$30</c:f>
              <c:numCache>
                <c:formatCode>General</c:formatCode>
                <c:ptCount val="29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</c:numCache>
            </c:numRef>
          </c:cat>
          <c:val>
            <c:numRef>
              <c:f>'Males AverageAge'!$C$2:$C$30</c:f>
              <c:numCache>
                <c:formatCode>General</c:formatCode>
                <c:ptCount val="29"/>
                <c:pt idx="0">
                  <c:v>30.164703514630045</c:v>
                </c:pt>
                <c:pt idx="1">
                  <c:v>30.363228969058387</c:v>
                </c:pt>
                <c:pt idx="2">
                  <c:v>30.606236414780717</c:v>
                </c:pt>
                <c:pt idx="3">
                  <c:v>30.845657389618932</c:v>
                </c:pt>
                <c:pt idx="4">
                  <c:v>31.103282273947894</c:v>
                </c:pt>
                <c:pt idx="5">
                  <c:v>31.342934703636676</c:v>
                </c:pt>
                <c:pt idx="6">
                  <c:v>31.591553475348988</c:v>
                </c:pt>
                <c:pt idx="7">
                  <c:v>31.854188181901208</c:v>
                </c:pt>
                <c:pt idx="8">
                  <c:v>32.141765756846269</c:v>
                </c:pt>
                <c:pt idx="9">
                  <c:v>32.479413923043339</c:v>
                </c:pt>
                <c:pt idx="10">
                  <c:v>32.810834867284896</c:v>
                </c:pt>
                <c:pt idx="11">
                  <c:v>33.116735139802167</c:v>
                </c:pt>
                <c:pt idx="12">
                  <c:v>33.448891079056814</c:v>
                </c:pt>
                <c:pt idx="13">
                  <c:v>33.61786087136317</c:v>
                </c:pt>
                <c:pt idx="14">
                  <c:v>34.056732295751523</c:v>
                </c:pt>
                <c:pt idx="15">
                  <c:v>34.412579692866174</c:v>
                </c:pt>
                <c:pt idx="16">
                  <c:v>34.779838260378142</c:v>
                </c:pt>
                <c:pt idx="17">
                  <c:v>35.134450629323837</c:v>
                </c:pt>
                <c:pt idx="18">
                  <c:v>35.472677638059402</c:v>
                </c:pt>
                <c:pt idx="19">
                  <c:v>35.791165871248509</c:v>
                </c:pt>
                <c:pt idx="20">
                  <c:v>36.192416662323431</c:v>
                </c:pt>
                <c:pt idx="21">
                  <c:v>36.668175273128249</c:v>
                </c:pt>
                <c:pt idx="22">
                  <c:v>37.070979646242698</c:v>
                </c:pt>
                <c:pt idx="23">
                  <c:v>37.484027525186306</c:v>
                </c:pt>
                <c:pt idx="24">
                  <c:v>37.890057873959869</c:v>
                </c:pt>
                <c:pt idx="25">
                  <c:v>38.239789359228816</c:v>
                </c:pt>
                <c:pt idx="26">
                  <c:v>38.59660973731372</c:v>
                </c:pt>
                <c:pt idx="27">
                  <c:v>38.932587102433956</c:v>
                </c:pt>
                <c:pt idx="28">
                  <c:v>39.30658929829567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B9-4CB4-86C5-6472249A2B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4649056"/>
        <c:axId val="1664649472"/>
      </c:lineChart>
      <c:catAx>
        <c:axId val="1664649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4649472"/>
        <c:crosses val="autoZero"/>
        <c:auto val="1"/>
        <c:lblAlgn val="ctr"/>
        <c:lblOffset val="100"/>
        <c:noMultiLvlLbl val="0"/>
      </c:catAx>
      <c:valAx>
        <c:axId val="1664649472"/>
        <c:scaling>
          <c:orientation val="minMax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4649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'Females AverageAge'!$B$1</c:f>
              <c:strCache>
                <c:ptCount val="1"/>
                <c:pt idx="0">
                  <c:v>Model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'Females AverageAge'!$A$2:$A$30</c:f>
              <c:numCache>
                <c:formatCode>General</c:formatCode>
                <c:ptCount val="29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</c:numCache>
            </c:numRef>
          </c:cat>
          <c:val>
            <c:numRef>
              <c:f>'Females AverageAge'!$B$2:$B$30</c:f>
              <c:numCache>
                <c:formatCode>General</c:formatCode>
                <c:ptCount val="29"/>
                <c:pt idx="0">
                  <c:v>31.205501904682102</c:v>
                </c:pt>
                <c:pt idx="1">
                  <c:v>31.404212813199901</c:v>
                </c:pt>
                <c:pt idx="2">
                  <c:v>31.614126813083899</c:v>
                </c:pt>
                <c:pt idx="3">
                  <c:v>31.843841925203499</c:v>
                </c:pt>
                <c:pt idx="4">
                  <c:v>32.083298270291003</c:v>
                </c:pt>
                <c:pt idx="5">
                  <c:v>32.333902971550103</c:v>
                </c:pt>
                <c:pt idx="6">
                  <c:v>32.6032187783685</c:v>
                </c:pt>
                <c:pt idx="7">
                  <c:v>32.8918629999161</c:v>
                </c:pt>
                <c:pt idx="8">
                  <c:v>33.1944462094906</c:v>
                </c:pt>
                <c:pt idx="9">
                  <c:v>33.516754853324997</c:v>
                </c:pt>
                <c:pt idx="10">
                  <c:v>33.862125763182298</c:v>
                </c:pt>
                <c:pt idx="11">
                  <c:v>34.205740841957699</c:v>
                </c:pt>
                <c:pt idx="12">
                  <c:v>34.570291143917601</c:v>
                </c:pt>
                <c:pt idx="13">
                  <c:v>34.952219027508001</c:v>
                </c:pt>
                <c:pt idx="14">
                  <c:v>35.3369668165615</c:v>
                </c:pt>
                <c:pt idx="15">
                  <c:v>35.735460558212502</c:v>
                </c:pt>
                <c:pt idx="16">
                  <c:v>36.141386217147499</c:v>
                </c:pt>
                <c:pt idx="17">
                  <c:v>36.545977039917702</c:v>
                </c:pt>
                <c:pt idx="18">
                  <c:v>36.947419851612104</c:v>
                </c:pt>
                <c:pt idx="19">
                  <c:v>37.342137795447201</c:v>
                </c:pt>
                <c:pt idx="20">
                  <c:v>37.730527565554603</c:v>
                </c:pt>
                <c:pt idx="21">
                  <c:v>38.102169128043599</c:v>
                </c:pt>
                <c:pt idx="22">
                  <c:v>38.474909630149803</c:v>
                </c:pt>
                <c:pt idx="23">
                  <c:v>38.836312269074199</c:v>
                </c:pt>
                <c:pt idx="24">
                  <c:v>39.186377063904402</c:v>
                </c:pt>
                <c:pt idx="25">
                  <c:v>39.533403641444899</c:v>
                </c:pt>
                <c:pt idx="26">
                  <c:v>39.866255475961196</c:v>
                </c:pt>
                <c:pt idx="27">
                  <c:v>40.1836312156167</c:v>
                </c:pt>
                <c:pt idx="28">
                  <c:v>40.498154833275201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C7-4360-8A23-2DF4B656D71F}"/>
            </c:ext>
          </c:extLst>
        </c:ser>
        <c:ser>
          <c:idx val="1"/>
          <c:order val="1"/>
          <c:tx>
            <c:strRef>
              <c:f>'Females AverageAge'!$C$1</c:f>
              <c:strCache>
                <c:ptCount val="1"/>
                <c:pt idx="0">
                  <c:v>Real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'Females AverageAge'!$A$2:$A$30</c:f>
              <c:numCache>
                <c:formatCode>General</c:formatCode>
                <c:ptCount val="29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</c:numCache>
            </c:numRef>
          </c:cat>
          <c:val>
            <c:numRef>
              <c:f>'Females AverageAge'!$C$2:$C$30</c:f>
              <c:numCache>
                <c:formatCode>General</c:formatCode>
                <c:ptCount val="29"/>
                <c:pt idx="0">
                  <c:v>31.185489231070179</c:v>
                </c:pt>
                <c:pt idx="1">
                  <c:v>31.384137763166855</c:v>
                </c:pt>
                <c:pt idx="2">
                  <c:v>31.612224948234516</c:v>
                </c:pt>
                <c:pt idx="3">
                  <c:v>31.858962484881896</c:v>
                </c:pt>
                <c:pt idx="4">
                  <c:v>32.11360258582517</c:v>
                </c:pt>
                <c:pt idx="5">
                  <c:v>32.368041699121846</c:v>
                </c:pt>
                <c:pt idx="6">
                  <c:v>32.625916163213169</c:v>
                </c:pt>
                <c:pt idx="7">
                  <c:v>32.89752396555842</c:v>
                </c:pt>
                <c:pt idx="8">
                  <c:v>33.178889713021391</c:v>
                </c:pt>
                <c:pt idx="9">
                  <c:v>33.52742902400616</c:v>
                </c:pt>
                <c:pt idx="10">
                  <c:v>33.867201116009312</c:v>
                </c:pt>
                <c:pt idx="11">
                  <c:v>34.189470199311003</c:v>
                </c:pt>
                <c:pt idx="12">
                  <c:v>34.527850073793935</c:v>
                </c:pt>
                <c:pt idx="13">
                  <c:v>34.762227707279052</c:v>
                </c:pt>
                <c:pt idx="14">
                  <c:v>35.207975044158687</c:v>
                </c:pt>
                <c:pt idx="15">
                  <c:v>35.575121301902186</c:v>
                </c:pt>
                <c:pt idx="16">
                  <c:v>35.924592664931041</c:v>
                </c:pt>
                <c:pt idx="17">
                  <c:v>36.270913722854274</c:v>
                </c:pt>
                <c:pt idx="18">
                  <c:v>36.578350321009182</c:v>
                </c:pt>
                <c:pt idx="19">
                  <c:v>36.840639464222953</c:v>
                </c:pt>
                <c:pt idx="20">
                  <c:v>37.244720473487746</c:v>
                </c:pt>
                <c:pt idx="21">
                  <c:v>37.747235540823112</c:v>
                </c:pt>
                <c:pt idx="22">
                  <c:v>38.14985406254079</c:v>
                </c:pt>
                <c:pt idx="23">
                  <c:v>38.57440917610522</c:v>
                </c:pt>
                <c:pt idx="24">
                  <c:v>39.003684343420232</c:v>
                </c:pt>
                <c:pt idx="25">
                  <c:v>39.369847970506463</c:v>
                </c:pt>
                <c:pt idx="26">
                  <c:v>39.752062965031016</c:v>
                </c:pt>
                <c:pt idx="27">
                  <c:v>40.122208865269442</c:v>
                </c:pt>
                <c:pt idx="28">
                  <c:v>40.523911609094185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C7-4360-8A23-2DF4B656D7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8058672"/>
        <c:axId val="1968059088"/>
      </c:lineChart>
      <c:catAx>
        <c:axId val="1968058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059088"/>
        <c:crosses val="autoZero"/>
        <c:auto val="1"/>
        <c:lblAlgn val="ctr"/>
        <c:lblOffset val="100"/>
        <c:noMultiLvlLbl val="0"/>
      </c:catAx>
      <c:valAx>
        <c:axId val="1968059088"/>
        <c:scaling>
          <c:orientation val="minMax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058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SM!$B$1</c:f>
              <c:strCache>
                <c:ptCount val="1"/>
                <c:pt idx="0">
                  <c:v>Model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SM!$A$2:$A$30</c:f>
              <c:numCache>
                <c:formatCode>General</c:formatCode>
                <c:ptCount val="29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</c:numCache>
            </c:numRef>
          </c:cat>
          <c:val>
            <c:numRef>
              <c:f>SM!$B$2:$B$30</c:f>
              <c:numCache>
                <c:formatCode>General</c:formatCode>
                <c:ptCount val="29"/>
                <c:pt idx="0">
                  <c:v>308400</c:v>
                </c:pt>
                <c:pt idx="1">
                  <c:v>307480</c:v>
                </c:pt>
                <c:pt idx="2">
                  <c:v>308059</c:v>
                </c:pt>
                <c:pt idx="3">
                  <c:v>309995</c:v>
                </c:pt>
                <c:pt idx="4">
                  <c:v>312748</c:v>
                </c:pt>
                <c:pt idx="5">
                  <c:v>316890</c:v>
                </c:pt>
                <c:pt idx="6">
                  <c:v>320705</c:v>
                </c:pt>
                <c:pt idx="7">
                  <c:v>324931</c:v>
                </c:pt>
                <c:pt idx="8">
                  <c:v>328931</c:v>
                </c:pt>
                <c:pt idx="9">
                  <c:v>333029</c:v>
                </c:pt>
                <c:pt idx="10">
                  <c:v>336998</c:v>
                </c:pt>
                <c:pt idx="11">
                  <c:v>341482</c:v>
                </c:pt>
                <c:pt idx="12">
                  <c:v>346506</c:v>
                </c:pt>
                <c:pt idx="13">
                  <c:v>351382</c:v>
                </c:pt>
                <c:pt idx="14">
                  <c:v>357231</c:v>
                </c:pt>
                <c:pt idx="15">
                  <c:v>363196</c:v>
                </c:pt>
                <c:pt idx="16">
                  <c:v>369782</c:v>
                </c:pt>
                <c:pt idx="17">
                  <c:v>376496</c:v>
                </c:pt>
                <c:pt idx="18">
                  <c:v>384149</c:v>
                </c:pt>
                <c:pt idx="19">
                  <c:v>391701</c:v>
                </c:pt>
                <c:pt idx="20">
                  <c:v>423925</c:v>
                </c:pt>
                <c:pt idx="21">
                  <c:v>435902</c:v>
                </c:pt>
                <c:pt idx="22">
                  <c:v>443362</c:v>
                </c:pt>
                <c:pt idx="23">
                  <c:v>449405</c:v>
                </c:pt>
                <c:pt idx="24">
                  <c:v>455261</c:v>
                </c:pt>
                <c:pt idx="25">
                  <c:v>458207</c:v>
                </c:pt>
                <c:pt idx="26">
                  <c:v>459891</c:v>
                </c:pt>
                <c:pt idx="27">
                  <c:v>460562</c:v>
                </c:pt>
                <c:pt idx="28">
                  <c:v>460389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07-4694-B83D-CB1FA96A4ED5}"/>
            </c:ext>
          </c:extLst>
        </c:ser>
        <c:ser>
          <c:idx val="1"/>
          <c:order val="1"/>
          <c:tx>
            <c:strRef>
              <c:f>SM!$C$1</c:f>
              <c:strCache>
                <c:ptCount val="1"/>
                <c:pt idx="0">
                  <c:v>Real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SM!$A$2:$A$30</c:f>
              <c:numCache>
                <c:formatCode>General</c:formatCode>
                <c:ptCount val="29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</c:numCache>
            </c:numRef>
          </c:cat>
          <c:val>
            <c:numRef>
              <c:f>SM!$C$2:$C$30</c:f>
              <c:numCache>
                <c:formatCode>General</c:formatCode>
                <c:ptCount val="29"/>
                <c:pt idx="0">
                  <c:v>308400</c:v>
                </c:pt>
                <c:pt idx="1">
                  <c:v>302300</c:v>
                </c:pt>
                <c:pt idx="2">
                  <c:v>312500</c:v>
                </c:pt>
                <c:pt idx="3">
                  <c:v>316100</c:v>
                </c:pt>
                <c:pt idx="4">
                  <c:v>313600</c:v>
                </c:pt>
                <c:pt idx="5">
                  <c:v>313000</c:v>
                </c:pt>
                <c:pt idx="6">
                  <c:v>297300</c:v>
                </c:pt>
                <c:pt idx="7">
                  <c:v>313600</c:v>
                </c:pt>
                <c:pt idx="8">
                  <c:v>306100</c:v>
                </c:pt>
                <c:pt idx="9">
                  <c:v>308500</c:v>
                </c:pt>
                <c:pt idx="10">
                  <c:v>303100</c:v>
                </c:pt>
                <c:pt idx="11">
                  <c:v>304900</c:v>
                </c:pt>
                <c:pt idx="12">
                  <c:v>319800</c:v>
                </c:pt>
                <c:pt idx="13">
                  <c:v>324700</c:v>
                </c:pt>
                <c:pt idx="14">
                  <c:v>332000</c:v>
                </c:pt>
                <c:pt idx="15">
                  <c:v>337000</c:v>
                </c:pt>
                <c:pt idx="16">
                  <c:v>346300</c:v>
                </c:pt>
                <c:pt idx="17">
                  <c:v>344400</c:v>
                </c:pt>
                <c:pt idx="18">
                  <c:v>350700</c:v>
                </c:pt>
                <c:pt idx="19">
                  <c:v>367000</c:v>
                </c:pt>
                <c:pt idx="20">
                  <c:v>387100</c:v>
                </c:pt>
                <c:pt idx="21">
                  <c:v>384500</c:v>
                </c:pt>
                <c:pt idx="22">
                  <c:v>393600</c:v>
                </c:pt>
                <c:pt idx="23">
                  <c:v>396400</c:v>
                </c:pt>
                <c:pt idx="24">
                  <c:v>408100</c:v>
                </c:pt>
                <c:pt idx="25">
                  <c:v>401400</c:v>
                </c:pt>
                <c:pt idx="26">
                  <c:v>412200</c:v>
                </c:pt>
                <c:pt idx="27">
                  <c:v>403600</c:v>
                </c:pt>
                <c:pt idx="28">
                  <c:v>414400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07-4694-B83D-CB1FA96A4E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852272"/>
        <c:axId val="173850192"/>
      </c:lineChart>
      <c:catAx>
        <c:axId val="173852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850192"/>
        <c:crosses val="autoZero"/>
        <c:auto val="1"/>
        <c:lblAlgn val="ctr"/>
        <c:lblOffset val="100"/>
        <c:noMultiLvlLbl val="0"/>
      </c:catAx>
      <c:valAx>
        <c:axId val="173850192"/>
        <c:scaling>
          <c:orientation val="minMax"/>
          <c:max val="500000"/>
          <c:min val="2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852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MM!$B$1</c:f>
              <c:strCache>
                <c:ptCount val="1"/>
                <c:pt idx="0">
                  <c:v>Model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MM!$A$2:$A$30</c:f>
              <c:numCache>
                <c:formatCode>General</c:formatCode>
                <c:ptCount val="29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</c:numCache>
            </c:numRef>
          </c:cat>
          <c:val>
            <c:numRef>
              <c:f>MM!$B$2:$B$30</c:f>
              <c:numCache>
                <c:formatCode>General</c:formatCode>
                <c:ptCount val="29"/>
                <c:pt idx="0">
                  <c:v>600548</c:v>
                </c:pt>
                <c:pt idx="1">
                  <c:v>617424</c:v>
                </c:pt>
                <c:pt idx="2">
                  <c:v>634406</c:v>
                </c:pt>
                <c:pt idx="3">
                  <c:v>650929</c:v>
                </c:pt>
                <c:pt idx="4">
                  <c:v>667003</c:v>
                </c:pt>
                <c:pt idx="5">
                  <c:v>682017</c:v>
                </c:pt>
                <c:pt idx="6">
                  <c:v>697473</c:v>
                </c:pt>
                <c:pt idx="7">
                  <c:v>712489</c:v>
                </c:pt>
                <c:pt idx="8">
                  <c:v>727376</c:v>
                </c:pt>
                <c:pt idx="9">
                  <c:v>741870</c:v>
                </c:pt>
                <c:pt idx="10">
                  <c:v>756668</c:v>
                </c:pt>
                <c:pt idx="11">
                  <c:v>771102</c:v>
                </c:pt>
                <c:pt idx="12">
                  <c:v>784773</c:v>
                </c:pt>
                <c:pt idx="13">
                  <c:v>798282</c:v>
                </c:pt>
                <c:pt idx="14">
                  <c:v>811293</c:v>
                </c:pt>
                <c:pt idx="15">
                  <c:v>824419</c:v>
                </c:pt>
                <c:pt idx="16">
                  <c:v>837047</c:v>
                </c:pt>
                <c:pt idx="17">
                  <c:v>849873</c:v>
                </c:pt>
                <c:pt idx="18">
                  <c:v>862284</c:v>
                </c:pt>
                <c:pt idx="19">
                  <c:v>874436</c:v>
                </c:pt>
                <c:pt idx="20">
                  <c:v>887005</c:v>
                </c:pt>
                <c:pt idx="21">
                  <c:v>899183</c:v>
                </c:pt>
                <c:pt idx="22">
                  <c:v>911623</c:v>
                </c:pt>
                <c:pt idx="23">
                  <c:v>923859</c:v>
                </c:pt>
                <c:pt idx="24">
                  <c:v>935365</c:v>
                </c:pt>
                <c:pt idx="25">
                  <c:v>947706</c:v>
                </c:pt>
                <c:pt idx="26">
                  <c:v>958697</c:v>
                </c:pt>
                <c:pt idx="27">
                  <c:v>968969</c:v>
                </c:pt>
                <c:pt idx="28">
                  <c:v>978942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51-47AE-9915-BDFAB45A14C1}"/>
            </c:ext>
          </c:extLst>
        </c:ser>
        <c:ser>
          <c:idx val="1"/>
          <c:order val="1"/>
          <c:tx>
            <c:strRef>
              <c:f>MM!$C$1</c:f>
              <c:strCache>
                <c:ptCount val="1"/>
                <c:pt idx="0">
                  <c:v>Real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MM!$A$2:$A$30</c:f>
              <c:numCache>
                <c:formatCode>General</c:formatCode>
                <c:ptCount val="29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</c:numCache>
            </c:numRef>
          </c:cat>
          <c:val>
            <c:numRef>
              <c:f>MM!$C$2:$C$30</c:f>
              <c:numCache>
                <c:formatCode>General</c:formatCode>
                <c:ptCount val="29"/>
                <c:pt idx="0">
                  <c:v>586400</c:v>
                </c:pt>
                <c:pt idx="1">
                  <c:v>621300</c:v>
                </c:pt>
                <c:pt idx="2">
                  <c:v>633200</c:v>
                </c:pt>
                <c:pt idx="3">
                  <c:v>657300</c:v>
                </c:pt>
                <c:pt idx="4">
                  <c:v>674700</c:v>
                </c:pt>
                <c:pt idx="5">
                  <c:v>692100</c:v>
                </c:pt>
                <c:pt idx="6">
                  <c:v>716800</c:v>
                </c:pt>
                <c:pt idx="7">
                  <c:v>736600</c:v>
                </c:pt>
                <c:pt idx="8">
                  <c:v>750500</c:v>
                </c:pt>
                <c:pt idx="9">
                  <c:v>768500</c:v>
                </c:pt>
                <c:pt idx="10">
                  <c:v>770800</c:v>
                </c:pt>
                <c:pt idx="11">
                  <c:v>792700</c:v>
                </c:pt>
                <c:pt idx="12">
                  <c:v>814200</c:v>
                </c:pt>
                <c:pt idx="13">
                  <c:v>835300</c:v>
                </c:pt>
                <c:pt idx="14">
                  <c:v>846700</c:v>
                </c:pt>
                <c:pt idx="15">
                  <c:v>847000</c:v>
                </c:pt>
                <c:pt idx="16">
                  <c:v>883300</c:v>
                </c:pt>
                <c:pt idx="17">
                  <c:v>894500</c:v>
                </c:pt>
                <c:pt idx="18">
                  <c:v>896000</c:v>
                </c:pt>
                <c:pt idx="19">
                  <c:v>913300</c:v>
                </c:pt>
                <c:pt idx="20">
                  <c:v>928200</c:v>
                </c:pt>
                <c:pt idx="21">
                  <c:v>944200</c:v>
                </c:pt>
                <c:pt idx="22">
                  <c:v>952000</c:v>
                </c:pt>
                <c:pt idx="23">
                  <c:v>963000</c:v>
                </c:pt>
                <c:pt idx="24">
                  <c:v>980900</c:v>
                </c:pt>
                <c:pt idx="25">
                  <c:v>984700</c:v>
                </c:pt>
                <c:pt idx="26">
                  <c:v>993800</c:v>
                </c:pt>
                <c:pt idx="27">
                  <c:v>1026200</c:v>
                </c:pt>
                <c:pt idx="28">
                  <c:v>1025100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51-47AE-9915-BDFAB45A14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0995520"/>
        <c:axId val="1970990528"/>
      </c:lineChart>
      <c:catAx>
        <c:axId val="1970995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0990528"/>
        <c:crosses val="autoZero"/>
        <c:auto val="1"/>
        <c:lblAlgn val="ctr"/>
        <c:lblOffset val="100"/>
        <c:noMultiLvlLbl val="0"/>
      </c:catAx>
      <c:valAx>
        <c:axId val="1970990528"/>
        <c:scaling>
          <c:orientation val="minMax"/>
          <c:max val="1100000"/>
          <c:min val="5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0995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WM!$B$1</c:f>
              <c:strCache>
                <c:ptCount val="1"/>
                <c:pt idx="0">
                  <c:v>Model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WM!$A$2:$A$30</c:f>
              <c:numCache>
                <c:formatCode>General</c:formatCode>
                <c:ptCount val="29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</c:numCache>
            </c:numRef>
          </c:cat>
          <c:val>
            <c:numRef>
              <c:f>WM!$B$2:$B$30</c:f>
              <c:numCache>
                <c:formatCode>General</c:formatCode>
                <c:ptCount val="29"/>
                <c:pt idx="0">
                  <c:v>25701</c:v>
                </c:pt>
                <c:pt idx="1">
                  <c:v>27789</c:v>
                </c:pt>
                <c:pt idx="2">
                  <c:v>29413</c:v>
                </c:pt>
                <c:pt idx="3">
                  <c:v>30965</c:v>
                </c:pt>
                <c:pt idx="4">
                  <c:v>32373</c:v>
                </c:pt>
                <c:pt idx="5">
                  <c:v>33601</c:v>
                </c:pt>
                <c:pt idx="6">
                  <c:v>34728</c:v>
                </c:pt>
                <c:pt idx="7">
                  <c:v>35703</c:v>
                </c:pt>
                <c:pt idx="8">
                  <c:v>36566</c:v>
                </c:pt>
                <c:pt idx="9">
                  <c:v>37619</c:v>
                </c:pt>
                <c:pt idx="10">
                  <c:v>38587</c:v>
                </c:pt>
                <c:pt idx="11">
                  <c:v>39362</c:v>
                </c:pt>
                <c:pt idx="12">
                  <c:v>40206</c:v>
                </c:pt>
                <c:pt idx="13">
                  <c:v>41002</c:v>
                </c:pt>
                <c:pt idx="14">
                  <c:v>41829</c:v>
                </c:pt>
                <c:pt idx="15">
                  <c:v>42551</c:v>
                </c:pt>
                <c:pt idx="16">
                  <c:v>43218</c:v>
                </c:pt>
                <c:pt idx="17">
                  <c:v>43751</c:v>
                </c:pt>
                <c:pt idx="18">
                  <c:v>44295</c:v>
                </c:pt>
                <c:pt idx="19">
                  <c:v>45025</c:v>
                </c:pt>
                <c:pt idx="20">
                  <c:v>45699</c:v>
                </c:pt>
                <c:pt idx="21">
                  <c:v>46459</c:v>
                </c:pt>
                <c:pt idx="22">
                  <c:v>47205</c:v>
                </c:pt>
                <c:pt idx="23">
                  <c:v>48098</c:v>
                </c:pt>
                <c:pt idx="24">
                  <c:v>49170</c:v>
                </c:pt>
                <c:pt idx="25">
                  <c:v>50560</c:v>
                </c:pt>
                <c:pt idx="26">
                  <c:v>53528</c:v>
                </c:pt>
                <c:pt idx="27">
                  <c:v>56779</c:v>
                </c:pt>
                <c:pt idx="28">
                  <c:v>59908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64-4CF4-8A03-5F3F64295A6F}"/>
            </c:ext>
          </c:extLst>
        </c:ser>
        <c:ser>
          <c:idx val="1"/>
          <c:order val="1"/>
          <c:tx>
            <c:strRef>
              <c:f>WM!$C$1</c:f>
              <c:strCache>
                <c:ptCount val="1"/>
                <c:pt idx="0">
                  <c:v>Real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WM!$A$2:$A$30</c:f>
              <c:numCache>
                <c:formatCode>General</c:formatCode>
                <c:ptCount val="29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</c:numCache>
            </c:numRef>
          </c:cat>
          <c:val>
            <c:numRef>
              <c:f>WM!$C$2:$C$30</c:f>
              <c:numCache>
                <c:formatCode>General</c:formatCode>
                <c:ptCount val="29"/>
                <c:pt idx="0">
                  <c:v>26000</c:v>
                </c:pt>
                <c:pt idx="1">
                  <c:v>20200</c:v>
                </c:pt>
                <c:pt idx="2">
                  <c:v>22400</c:v>
                </c:pt>
                <c:pt idx="3">
                  <c:v>20700</c:v>
                </c:pt>
                <c:pt idx="4">
                  <c:v>21700</c:v>
                </c:pt>
                <c:pt idx="5">
                  <c:v>19900</c:v>
                </c:pt>
                <c:pt idx="6">
                  <c:v>23900</c:v>
                </c:pt>
                <c:pt idx="7">
                  <c:v>20900</c:v>
                </c:pt>
                <c:pt idx="8">
                  <c:v>22600</c:v>
                </c:pt>
                <c:pt idx="9">
                  <c:v>24600</c:v>
                </c:pt>
                <c:pt idx="10">
                  <c:v>22600</c:v>
                </c:pt>
                <c:pt idx="11">
                  <c:v>23200</c:v>
                </c:pt>
                <c:pt idx="12">
                  <c:v>23500</c:v>
                </c:pt>
                <c:pt idx="13">
                  <c:v>24500</c:v>
                </c:pt>
                <c:pt idx="14">
                  <c:v>22500</c:v>
                </c:pt>
                <c:pt idx="15">
                  <c:v>21100</c:v>
                </c:pt>
                <c:pt idx="16">
                  <c:v>24200</c:v>
                </c:pt>
                <c:pt idx="17">
                  <c:v>26500</c:v>
                </c:pt>
                <c:pt idx="18">
                  <c:v>22600</c:v>
                </c:pt>
                <c:pt idx="19">
                  <c:v>26800</c:v>
                </c:pt>
                <c:pt idx="20">
                  <c:v>24800</c:v>
                </c:pt>
                <c:pt idx="21">
                  <c:v>25700</c:v>
                </c:pt>
                <c:pt idx="22">
                  <c:v>25600</c:v>
                </c:pt>
                <c:pt idx="23">
                  <c:v>25700</c:v>
                </c:pt>
                <c:pt idx="24">
                  <c:v>27300</c:v>
                </c:pt>
                <c:pt idx="25">
                  <c:v>29000</c:v>
                </c:pt>
                <c:pt idx="26">
                  <c:v>29900</c:v>
                </c:pt>
                <c:pt idx="27">
                  <c:v>31800</c:v>
                </c:pt>
                <c:pt idx="28">
                  <c:v>30600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64-4CF4-8A03-5F3F64295A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0990944"/>
        <c:axId val="1970991776"/>
      </c:lineChart>
      <c:catAx>
        <c:axId val="1970990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0991776"/>
        <c:crosses val="autoZero"/>
        <c:auto val="1"/>
        <c:lblAlgn val="ctr"/>
        <c:lblOffset val="100"/>
        <c:noMultiLvlLbl val="0"/>
      </c:catAx>
      <c:valAx>
        <c:axId val="1970991776"/>
        <c:scaling>
          <c:orientation val="minMax"/>
          <c:max val="1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0990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DM!$B$1</c:f>
              <c:strCache>
                <c:ptCount val="1"/>
                <c:pt idx="0">
                  <c:v>Model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DM!$A$2:$A$30</c:f>
              <c:numCache>
                <c:formatCode>General</c:formatCode>
                <c:ptCount val="29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</c:numCache>
            </c:numRef>
          </c:cat>
          <c:val>
            <c:numRef>
              <c:f>DM!$B$2:$B$30</c:f>
              <c:numCache>
                <c:formatCode>General</c:formatCode>
                <c:ptCount val="29"/>
                <c:pt idx="0">
                  <c:v>10119</c:v>
                </c:pt>
                <c:pt idx="1">
                  <c:v>13149</c:v>
                </c:pt>
                <c:pt idx="2">
                  <c:v>16147</c:v>
                </c:pt>
                <c:pt idx="3">
                  <c:v>19139</c:v>
                </c:pt>
                <c:pt idx="4">
                  <c:v>22141</c:v>
                </c:pt>
                <c:pt idx="5">
                  <c:v>24950</c:v>
                </c:pt>
                <c:pt idx="6">
                  <c:v>27716</c:v>
                </c:pt>
                <c:pt idx="7">
                  <c:v>30344</c:v>
                </c:pt>
                <c:pt idx="8">
                  <c:v>33177</c:v>
                </c:pt>
                <c:pt idx="9">
                  <c:v>35903</c:v>
                </c:pt>
                <c:pt idx="10">
                  <c:v>38515</c:v>
                </c:pt>
                <c:pt idx="11">
                  <c:v>41171</c:v>
                </c:pt>
                <c:pt idx="12">
                  <c:v>43785</c:v>
                </c:pt>
                <c:pt idx="13">
                  <c:v>46497</c:v>
                </c:pt>
                <c:pt idx="14">
                  <c:v>49254</c:v>
                </c:pt>
                <c:pt idx="15">
                  <c:v>51919</c:v>
                </c:pt>
                <c:pt idx="16">
                  <c:v>54661</c:v>
                </c:pt>
                <c:pt idx="17">
                  <c:v>57340</c:v>
                </c:pt>
                <c:pt idx="18">
                  <c:v>60040</c:v>
                </c:pt>
                <c:pt idx="19">
                  <c:v>62798</c:v>
                </c:pt>
                <c:pt idx="20">
                  <c:v>65551</c:v>
                </c:pt>
                <c:pt idx="21">
                  <c:v>68434</c:v>
                </c:pt>
                <c:pt idx="22">
                  <c:v>71267</c:v>
                </c:pt>
                <c:pt idx="23">
                  <c:v>74130</c:v>
                </c:pt>
                <c:pt idx="24">
                  <c:v>77064</c:v>
                </c:pt>
                <c:pt idx="25">
                  <c:v>80104</c:v>
                </c:pt>
                <c:pt idx="26">
                  <c:v>83142</c:v>
                </c:pt>
                <c:pt idx="27">
                  <c:v>86186</c:v>
                </c:pt>
                <c:pt idx="28">
                  <c:v>89219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D7-43BD-8164-135052DC783A}"/>
            </c:ext>
          </c:extLst>
        </c:ser>
        <c:ser>
          <c:idx val="1"/>
          <c:order val="1"/>
          <c:tx>
            <c:strRef>
              <c:f>DM!$C$1</c:f>
              <c:strCache>
                <c:ptCount val="1"/>
                <c:pt idx="0">
                  <c:v>Real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DM!$A$2:$A$30</c:f>
              <c:numCache>
                <c:formatCode>General</c:formatCode>
                <c:ptCount val="29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</c:numCache>
            </c:numRef>
          </c:cat>
          <c:val>
            <c:numRef>
              <c:f>DM!$C$2:$C$30</c:f>
              <c:numCache>
                <c:formatCode>General</c:formatCode>
                <c:ptCount val="29"/>
                <c:pt idx="0">
                  <c:v>10100</c:v>
                </c:pt>
                <c:pt idx="1">
                  <c:v>11100</c:v>
                </c:pt>
                <c:pt idx="2">
                  <c:v>10900</c:v>
                </c:pt>
                <c:pt idx="3">
                  <c:v>10800</c:v>
                </c:pt>
                <c:pt idx="4">
                  <c:v>11400</c:v>
                </c:pt>
                <c:pt idx="5">
                  <c:v>12700</c:v>
                </c:pt>
                <c:pt idx="6">
                  <c:v>14500</c:v>
                </c:pt>
                <c:pt idx="7">
                  <c:v>13400</c:v>
                </c:pt>
                <c:pt idx="8">
                  <c:v>12900</c:v>
                </c:pt>
                <c:pt idx="9">
                  <c:v>16100</c:v>
                </c:pt>
                <c:pt idx="10">
                  <c:v>22800</c:v>
                </c:pt>
                <c:pt idx="11">
                  <c:v>19500</c:v>
                </c:pt>
                <c:pt idx="12">
                  <c:v>20000</c:v>
                </c:pt>
                <c:pt idx="13">
                  <c:v>21200</c:v>
                </c:pt>
                <c:pt idx="14">
                  <c:v>21000</c:v>
                </c:pt>
                <c:pt idx="15">
                  <c:v>28500</c:v>
                </c:pt>
                <c:pt idx="16">
                  <c:v>28600</c:v>
                </c:pt>
                <c:pt idx="17">
                  <c:v>29800</c:v>
                </c:pt>
                <c:pt idx="18">
                  <c:v>29200</c:v>
                </c:pt>
                <c:pt idx="19">
                  <c:v>32400</c:v>
                </c:pt>
                <c:pt idx="20">
                  <c:v>37200</c:v>
                </c:pt>
                <c:pt idx="21">
                  <c:v>34600</c:v>
                </c:pt>
                <c:pt idx="22">
                  <c:v>37400</c:v>
                </c:pt>
                <c:pt idx="23">
                  <c:v>37000</c:v>
                </c:pt>
                <c:pt idx="24">
                  <c:v>37300</c:v>
                </c:pt>
                <c:pt idx="25">
                  <c:v>42800</c:v>
                </c:pt>
                <c:pt idx="26">
                  <c:v>44100</c:v>
                </c:pt>
                <c:pt idx="27">
                  <c:v>40900</c:v>
                </c:pt>
                <c:pt idx="28">
                  <c:v>44100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D7-43BD-8164-135052DC78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5816816"/>
        <c:axId val="1665815152"/>
      </c:lineChart>
      <c:catAx>
        <c:axId val="1665816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5815152"/>
        <c:crosses val="autoZero"/>
        <c:auto val="1"/>
        <c:lblAlgn val="ctr"/>
        <c:lblOffset val="100"/>
        <c:noMultiLvlLbl val="0"/>
      </c:catAx>
      <c:valAx>
        <c:axId val="1665815152"/>
        <c:scaling>
          <c:orientation val="minMax"/>
          <c:max val="1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5816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SF!$B$1</c:f>
              <c:strCache>
                <c:ptCount val="1"/>
                <c:pt idx="0">
                  <c:v>Model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SF!$A$2:$A$30</c:f>
              <c:numCache>
                <c:formatCode>General</c:formatCode>
                <c:ptCount val="29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</c:numCache>
            </c:numRef>
          </c:cat>
          <c:val>
            <c:numRef>
              <c:f>SF!$B$2:$B$30</c:f>
              <c:numCache>
                <c:formatCode>General</c:formatCode>
                <c:ptCount val="29"/>
                <c:pt idx="0">
                  <c:v>219101</c:v>
                </c:pt>
                <c:pt idx="1">
                  <c:v>244036</c:v>
                </c:pt>
                <c:pt idx="2">
                  <c:v>270089</c:v>
                </c:pt>
                <c:pt idx="3">
                  <c:v>296983</c:v>
                </c:pt>
                <c:pt idx="4">
                  <c:v>299387</c:v>
                </c:pt>
                <c:pt idx="5">
                  <c:v>295055</c:v>
                </c:pt>
                <c:pt idx="6">
                  <c:v>290833</c:v>
                </c:pt>
                <c:pt idx="7">
                  <c:v>287211</c:v>
                </c:pt>
                <c:pt idx="8">
                  <c:v>284157</c:v>
                </c:pt>
                <c:pt idx="9">
                  <c:v>281542</c:v>
                </c:pt>
                <c:pt idx="10">
                  <c:v>283978</c:v>
                </c:pt>
                <c:pt idx="11">
                  <c:v>285832</c:v>
                </c:pt>
                <c:pt idx="12">
                  <c:v>285511</c:v>
                </c:pt>
                <c:pt idx="13">
                  <c:v>285801</c:v>
                </c:pt>
                <c:pt idx="14">
                  <c:v>285660</c:v>
                </c:pt>
                <c:pt idx="15">
                  <c:v>285592</c:v>
                </c:pt>
                <c:pt idx="16">
                  <c:v>264180</c:v>
                </c:pt>
                <c:pt idx="17">
                  <c:v>241741</c:v>
                </c:pt>
                <c:pt idx="18">
                  <c:v>220905</c:v>
                </c:pt>
                <c:pt idx="19">
                  <c:v>199781</c:v>
                </c:pt>
                <c:pt idx="20">
                  <c:v>208759</c:v>
                </c:pt>
                <c:pt idx="21">
                  <c:v>222006</c:v>
                </c:pt>
                <c:pt idx="22">
                  <c:v>241160</c:v>
                </c:pt>
                <c:pt idx="23">
                  <c:v>270456</c:v>
                </c:pt>
                <c:pt idx="24">
                  <c:v>302834</c:v>
                </c:pt>
                <c:pt idx="25">
                  <c:v>334143</c:v>
                </c:pt>
                <c:pt idx="26">
                  <c:v>351262</c:v>
                </c:pt>
                <c:pt idx="27">
                  <c:v>364780</c:v>
                </c:pt>
                <c:pt idx="28">
                  <c:v>367755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57-4BFD-BC06-7D27F03A1E22}"/>
            </c:ext>
          </c:extLst>
        </c:ser>
        <c:ser>
          <c:idx val="1"/>
          <c:order val="1"/>
          <c:tx>
            <c:strRef>
              <c:f>SF!$C$1</c:f>
              <c:strCache>
                <c:ptCount val="1"/>
                <c:pt idx="0">
                  <c:v>Real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SF!$A$2:$A$30</c:f>
              <c:numCache>
                <c:formatCode>General</c:formatCode>
                <c:ptCount val="29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</c:numCache>
            </c:numRef>
          </c:cat>
          <c:val>
            <c:numRef>
              <c:f>SF!$C$2:$C$30</c:f>
              <c:numCache>
                <c:formatCode>General</c:formatCode>
                <c:ptCount val="29"/>
                <c:pt idx="0">
                  <c:v>219100</c:v>
                </c:pt>
                <c:pt idx="1">
                  <c:v>224800</c:v>
                </c:pt>
                <c:pt idx="2">
                  <c:v>234500</c:v>
                </c:pt>
                <c:pt idx="3">
                  <c:v>233500</c:v>
                </c:pt>
                <c:pt idx="4">
                  <c:v>236000</c:v>
                </c:pt>
                <c:pt idx="5">
                  <c:v>233600</c:v>
                </c:pt>
                <c:pt idx="6">
                  <c:v>238500</c:v>
                </c:pt>
                <c:pt idx="7">
                  <c:v>244600</c:v>
                </c:pt>
                <c:pt idx="8">
                  <c:v>248300</c:v>
                </c:pt>
                <c:pt idx="9">
                  <c:v>248800</c:v>
                </c:pt>
                <c:pt idx="10">
                  <c:v>246900</c:v>
                </c:pt>
                <c:pt idx="11">
                  <c:v>253000</c:v>
                </c:pt>
                <c:pt idx="12">
                  <c:v>266800</c:v>
                </c:pt>
                <c:pt idx="13">
                  <c:v>278000</c:v>
                </c:pt>
                <c:pt idx="14">
                  <c:v>277000</c:v>
                </c:pt>
                <c:pt idx="15">
                  <c:v>282500</c:v>
                </c:pt>
                <c:pt idx="16">
                  <c:v>298700</c:v>
                </c:pt>
                <c:pt idx="17">
                  <c:v>302000</c:v>
                </c:pt>
                <c:pt idx="18">
                  <c:v>302100</c:v>
                </c:pt>
                <c:pt idx="19">
                  <c:v>320600</c:v>
                </c:pt>
                <c:pt idx="20">
                  <c:v>343100</c:v>
                </c:pt>
                <c:pt idx="21">
                  <c:v>351100</c:v>
                </c:pt>
                <c:pt idx="22">
                  <c:v>355500</c:v>
                </c:pt>
                <c:pt idx="23">
                  <c:v>367300</c:v>
                </c:pt>
                <c:pt idx="24">
                  <c:v>389400</c:v>
                </c:pt>
                <c:pt idx="25">
                  <c:v>378700</c:v>
                </c:pt>
                <c:pt idx="26">
                  <c:v>389200</c:v>
                </c:pt>
                <c:pt idx="27">
                  <c:v>385500</c:v>
                </c:pt>
                <c:pt idx="28">
                  <c:v>394400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57-4BFD-BC06-7D27F03A1E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848944"/>
        <c:axId val="1902291648"/>
      </c:lineChart>
      <c:catAx>
        <c:axId val="173848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2291648"/>
        <c:crosses val="autoZero"/>
        <c:auto val="1"/>
        <c:lblAlgn val="ctr"/>
        <c:lblOffset val="100"/>
        <c:noMultiLvlLbl val="0"/>
      </c:catAx>
      <c:valAx>
        <c:axId val="1902291648"/>
        <c:scaling>
          <c:orientation val="minMax"/>
          <c:max val="400000"/>
          <c:min val="2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848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MF!$B$1</c:f>
              <c:strCache>
                <c:ptCount val="1"/>
                <c:pt idx="0">
                  <c:v>Model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MF!$A$2:$A$30</c:f>
              <c:numCache>
                <c:formatCode>General</c:formatCode>
                <c:ptCount val="29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</c:numCache>
            </c:numRef>
          </c:cat>
          <c:val>
            <c:numRef>
              <c:f>MF!$B$2:$B$30</c:f>
              <c:numCache>
                <c:formatCode>General</c:formatCode>
                <c:ptCount val="29"/>
                <c:pt idx="0">
                  <c:v>599822</c:v>
                </c:pt>
                <c:pt idx="1">
                  <c:v>591751</c:v>
                </c:pt>
                <c:pt idx="2">
                  <c:v>583848</c:v>
                </c:pt>
                <c:pt idx="3">
                  <c:v>575835</c:v>
                </c:pt>
                <c:pt idx="4">
                  <c:v>592639</c:v>
                </c:pt>
                <c:pt idx="5">
                  <c:v>616303</c:v>
                </c:pt>
                <c:pt idx="6">
                  <c:v>639730</c:v>
                </c:pt>
                <c:pt idx="7">
                  <c:v>662201</c:v>
                </c:pt>
                <c:pt idx="8">
                  <c:v>683729</c:v>
                </c:pt>
                <c:pt idx="9">
                  <c:v>704581</c:v>
                </c:pt>
                <c:pt idx="10">
                  <c:v>724954</c:v>
                </c:pt>
                <c:pt idx="11">
                  <c:v>744736</c:v>
                </c:pt>
                <c:pt idx="12">
                  <c:v>763444</c:v>
                </c:pt>
                <c:pt idx="13">
                  <c:v>782183</c:v>
                </c:pt>
                <c:pt idx="14">
                  <c:v>800641</c:v>
                </c:pt>
                <c:pt idx="15">
                  <c:v>820253</c:v>
                </c:pt>
                <c:pt idx="16">
                  <c:v>862192</c:v>
                </c:pt>
                <c:pt idx="17">
                  <c:v>905539</c:v>
                </c:pt>
                <c:pt idx="18">
                  <c:v>949832</c:v>
                </c:pt>
                <c:pt idx="19">
                  <c:v>995164</c:v>
                </c:pt>
                <c:pt idx="20">
                  <c:v>1041931</c:v>
                </c:pt>
                <c:pt idx="21">
                  <c:v>1068668</c:v>
                </c:pt>
                <c:pt idx="22">
                  <c:v>1096519</c:v>
                </c:pt>
                <c:pt idx="23">
                  <c:v>1125526</c:v>
                </c:pt>
                <c:pt idx="24">
                  <c:v>1154180</c:v>
                </c:pt>
                <c:pt idx="25">
                  <c:v>1183408</c:v>
                </c:pt>
                <c:pt idx="26">
                  <c:v>1193472</c:v>
                </c:pt>
                <c:pt idx="27">
                  <c:v>1202120</c:v>
                </c:pt>
                <c:pt idx="28">
                  <c:v>1218671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2C-4749-856D-B3C1DC631646}"/>
            </c:ext>
          </c:extLst>
        </c:ser>
        <c:ser>
          <c:idx val="1"/>
          <c:order val="1"/>
          <c:tx>
            <c:strRef>
              <c:f>MF!$C$1</c:f>
              <c:strCache>
                <c:ptCount val="1"/>
                <c:pt idx="0">
                  <c:v>Real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MF!$A$2:$A$30</c:f>
              <c:numCache>
                <c:formatCode>General</c:formatCode>
                <c:ptCount val="29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</c:numCache>
            </c:numRef>
          </c:cat>
          <c:val>
            <c:numRef>
              <c:f>MF!$C$2:$C$30</c:f>
              <c:numCache>
                <c:formatCode>General</c:formatCode>
                <c:ptCount val="29"/>
                <c:pt idx="0">
                  <c:v>588200</c:v>
                </c:pt>
                <c:pt idx="1">
                  <c:v>617000</c:v>
                </c:pt>
                <c:pt idx="2">
                  <c:v>634500</c:v>
                </c:pt>
                <c:pt idx="3">
                  <c:v>651200</c:v>
                </c:pt>
                <c:pt idx="4">
                  <c:v>674100</c:v>
                </c:pt>
                <c:pt idx="5">
                  <c:v>690600</c:v>
                </c:pt>
                <c:pt idx="6">
                  <c:v>709900</c:v>
                </c:pt>
                <c:pt idx="7">
                  <c:v>739500</c:v>
                </c:pt>
                <c:pt idx="8">
                  <c:v>757800</c:v>
                </c:pt>
                <c:pt idx="9">
                  <c:v>759700</c:v>
                </c:pt>
                <c:pt idx="10">
                  <c:v>771400</c:v>
                </c:pt>
                <c:pt idx="11">
                  <c:v>781900</c:v>
                </c:pt>
                <c:pt idx="12">
                  <c:v>807600</c:v>
                </c:pt>
                <c:pt idx="13">
                  <c:v>824100</c:v>
                </c:pt>
                <c:pt idx="14">
                  <c:v>831700</c:v>
                </c:pt>
                <c:pt idx="15">
                  <c:v>852700</c:v>
                </c:pt>
                <c:pt idx="16">
                  <c:v>873900</c:v>
                </c:pt>
                <c:pt idx="17">
                  <c:v>891900</c:v>
                </c:pt>
                <c:pt idx="18">
                  <c:v>887000</c:v>
                </c:pt>
                <c:pt idx="19">
                  <c:v>917700</c:v>
                </c:pt>
                <c:pt idx="20">
                  <c:v>915700</c:v>
                </c:pt>
                <c:pt idx="21">
                  <c:v>931400</c:v>
                </c:pt>
                <c:pt idx="22">
                  <c:v>946500</c:v>
                </c:pt>
                <c:pt idx="23">
                  <c:v>948200</c:v>
                </c:pt>
                <c:pt idx="24">
                  <c:v>959000</c:v>
                </c:pt>
                <c:pt idx="25">
                  <c:v>960700</c:v>
                </c:pt>
                <c:pt idx="26">
                  <c:v>980600</c:v>
                </c:pt>
                <c:pt idx="27">
                  <c:v>992000</c:v>
                </c:pt>
                <c:pt idx="28">
                  <c:v>1001500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2C-4749-856D-B3C1DC6316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4636992"/>
        <c:axId val="1914635744"/>
      </c:lineChart>
      <c:catAx>
        <c:axId val="1914636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4635744"/>
        <c:crosses val="autoZero"/>
        <c:auto val="1"/>
        <c:lblAlgn val="ctr"/>
        <c:lblOffset val="100"/>
        <c:noMultiLvlLbl val="0"/>
      </c:catAx>
      <c:valAx>
        <c:axId val="1914635744"/>
        <c:scaling>
          <c:orientation val="minMax"/>
          <c:max val="1050000"/>
          <c:min val="58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4636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DF!$B$1</c:f>
              <c:strCache>
                <c:ptCount val="1"/>
                <c:pt idx="0">
                  <c:v>Model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DF!$A$2:$A$30</c:f>
              <c:numCache>
                <c:formatCode>General</c:formatCode>
                <c:ptCount val="29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</c:numCache>
            </c:numRef>
          </c:cat>
          <c:val>
            <c:numRef>
              <c:f>DF!$B$2:$B$30</c:f>
              <c:numCache>
                <c:formatCode>General</c:formatCode>
                <c:ptCount val="29"/>
                <c:pt idx="0">
                  <c:v>17701</c:v>
                </c:pt>
                <c:pt idx="1">
                  <c:v>21507</c:v>
                </c:pt>
                <c:pt idx="2">
                  <c:v>25212</c:v>
                </c:pt>
                <c:pt idx="3">
                  <c:v>28786</c:v>
                </c:pt>
                <c:pt idx="4">
                  <c:v>32163</c:v>
                </c:pt>
                <c:pt idx="5">
                  <c:v>35302</c:v>
                </c:pt>
                <c:pt idx="6">
                  <c:v>38406</c:v>
                </c:pt>
                <c:pt idx="7">
                  <c:v>41222</c:v>
                </c:pt>
                <c:pt idx="8">
                  <c:v>43972</c:v>
                </c:pt>
                <c:pt idx="9">
                  <c:v>46574</c:v>
                </c:pt>
                <c:pt idx="10">
                  <c:v>46408</c:v>
                </c:pt>
                <c:pt idx="11">
                  <c:v>46724</c:v>
                </c:pt>
                <c:pt idx="12">
                  <c:v>48516</c:v>
                </c:pt>
                <c:pt idx="13">
                  <c:v>49559</c:v>
                </c:pt>
                <c:pt idx="14">
                  <c:v>51224</c:v>
                </c:pt>
                <c:pt idx="15">
                  <c:v>51905</c:v>
                </c:pt>
                <c:pt idx="16">
                  <c:v>51857</c:v>
                </c:pt>
                <c:pt idx="17">
                  <c:v>51708</c:v>
                </c:pt>
                <c:pt idx="18">
                  <c:v>49481</c:v>
                </c:pt>
                <c:pt idx="19">
                  <c:v>46607</c:v>
                </c:pt>
                <c:pt idx="20">
                  <c:v>39951</c:v>
                </c:pt>
                <c:pt idx="21">
                  <c:v>31216</c:v>
                </c:pt>
                <c:pt idx="22">
                  <c:v>18951</c:v>
                </c:pt>
                <c:pt idx="23">
                  <c:v>10053</c:v>
                </c:pt>
                <c:pt idx="24">
                  <c:v>4755</c:v>
                </c:pt>
                <c:pt idx="25">
                  <c:v>2517</c:v>
                </c:pt>
                <c:pt idx="26">
                  <c:v>117</c:v>
                </c:pt>
                <c:pt idx="27">
                  <c:v>32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AD-422E-9581-4B2A824DBFE5}"/>
            </c:ext>
          </c:extLst>
        </c:ser>
        <c:ser>
          <c:idx val="1"/>
          <c:order val="1"/>
          <c:tx>
            <c:strRef>
              <c:f>DF!$C$1</c:f>
              <c:strCache>
                <c:ptCount val="1"/>
                <c:pt idx="0">
                  <c:v>Real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DF!$A$2:$A$30</c:f>
              <c:numCache>
                <c:formatCode>General</c:formatCode>
                <c:ptCount val="29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</c:numCache>
            </c:numRef>
          </c:cat>
          <c:val>
            <c:numRef>
              <c:f>DF!$C$2:$C$30</c:f>
              <c:numCache>
                <c:formatCode>General</c:formatCode>
                <c:ptCount val="29"/>
                <c:pt idx="0">
                  <c:v>17700</c:v>
                </c:pt>
                <c:pt idx="1">
                  <c:v>21100</c:v>
                </c:pt>
                <c:pt idx="2">
                  <c:v>22000</c:v>
                </c:pt>
                <c:pt idx="3">
                  <c:v>23700</c:v>
                </c:pt>
                <c:pt idx="4">
                  <c:v>23900</c:v>
                </c:pt>
                <c:pt idx="5">
                  <c:v>26200</c:v>
                </c:pt>
                <c:pt idx="6">
                  <c:v>27400</c:v>
                </c:pt>
                <c:pt idx="7">
                  <c:v>26300</c:v>
                </c:pt>
                <c:pt idx="8">
                  <c:v>25500</c:v>
                </c:pt>
                <c:pt idx="9">
                  <c:v>31100</c:v>
                </c:pt>
                <c:pt idx="10">
                  <c:v>38900</c:v>
                </c:pt>
                <c:pt idx="11">
                  <c:v>39000</c:v>
                </c:pt>
                <c:pt idx="12">
                  <c:v>38100</c:v>
                </c:pt>
                <c:pt idx="13">
                  <c:v>40600</c:v>
                </c:pt>
                <c:pt idx="14">
                  <c:v>45200</c:v>
                </c:pt>
                <c:pt idx="15">
                  <c:v>47800</c:v>
                </c:pt>
                <c:pt idx="16">
                  <c:v>53000</c:v>
                </c:pt>
                <c:pt idx="17">
                  <c:v>54000</c:v>
                </c:pt>
                <c:pt idx="18">
                  <c:v>60100</c:v>
                </c:pt>
                <c:pt idx="19">
                  <c:v>60800</c:v>
                </c:pt>
                <c:pt idx="20">
                  <c:v>66000</c:v>
                </c:pt>
                <c:pt idx="21">
                  <c:v>68400</c:v>
                </c:pt>
                <c:pt idx="22">
                  <c:v>71700</c:v>
                </c:pt>
                <c:pt idx="23">
                  <c:v>70200</c:v>
                </c:pt>
                <c:pt idx="24">
                  <c:v>73300</c:v>
                </c:pt>
                <c:pt idx="25">
                  <c:v>80900</c:v>
                </c:pt>
                <c:pt idx="26">
                  <c:v>75900</c:v>
                </c:pt>
                <c:pt idx="27">
                  <c:v>79000</c:v>
                </c:pt>
                <c:pt idx="28">
                  <c:v>87900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AD-422E-9581-4B2A824DBF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1509200"/>
        <c:axId val="1971509616"/>
      </c:lineChart>
      <c:catAx>
        <c:axId val="1971509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1509616"/>
        <c:crosses val="autoZero"/>
        <c:auto val="1"/>
        <c:lblAlgn val="ctr"/>
        <c:lblOffset val="100"/>
        <c:noMultiLvlLbl val="0"/>
      </c:catAx>
      <c:valAx>
        <c:axId val="1971509616"/>
        <c:scaling>
          <c:orientation val="minMax"/>
          <c:max val="9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1509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WF!$B$1</c:f>
              <c:strCache>
                <c:ptCount val="1"/>
                <c:pt idx="0">
                  <c:v>Model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WF!$A$2:$A$30</c:f>
              <c:numCache>
                <c:formatCode>General</c:formatCode>
                <c:ptCount val="29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</c:numCache>
            </c:numRef>
          </c:cat>
          <c:val>
            <c:numRef>
              <c:f>WF!$B$2:$B$30</c:f>
              <c:numCache>
                <c:formatCode>General</c:formatCode>
                <c:ptCount val="29"/>
                <c:pt idx="0">
                  <c:v>100901</c:v>
                </c:pt>
                <c:pt idx="1">
                  <c:v>102239</c:v>
                </c:pt>
                <c:pt idx="2">
                  <c:v>103511</c:v>
                </c:pt>
                <c:pt idx="3">
                  <c:v>104781</c:v>
                </c:pt>
                <c:pt idx="4">
                  <c:v>106064</c:v>
                </c:pt>
                <c:pt idx="5">
                  <c:v>107420</c:v>
                </c:pt>
                <c:pt idx="6">
                  <c:v>108697</c:v>
                </c:pt>
                <c:pt idx="7">
                  <c:v>110053</c:v>
                </c:pt>
                <c:pt idx="8">
                  <c:v>111253</c:v>
                </c:pt>
                <c:pt idx="9">
                  <c:v>112420</c:v>
                </c:pt>
                <c:pt idx="10">
                  <c:v>111394</c:v>
                </c:pt>
                <c:pt idx="11">
                  <c:v>110987</c:v>
                </c:pt>
                <c:pt idx="12">
                  <c:v>111855</c:v>
                </c:pt>
                <c:pt idx="13">
                  <c:v>112865</c:v>
                </c:pt>
                <c:pt idx="14">
                  <c:v>113772</c:v>
                </c:pt>
                <c:pt idx="15">
                  <c:v>114498</c:v>
                </c:pt>
                <c:pt idx="16">
                  <c:v>115199</c:v>
                </c:pt>
                <c:pt idx="17">
                  <c:v>115665</c:v>
                </c:pt>
                <c:pt idx="18">
                  <c:v>115772</c:v>
                </c:pt>
                <c:pt idx="19">
                  <c:v>115730</c:v>
                </c:pt>
                <c:pt idx="20">
                  <c:v>114637</c:v>
                </c:pt>
                <c:pt idx="21">
                  <c:v>111389</c:v>
                </c:pt>
                <c:pt idx="22">
                  <c:v>101684</c:v>
                </c:pt>
                <c:pt idx="23">
                  <c:v>76436</c:v>
                </c:pt>
                <c:pt idx="24">
                  <c:v>43846</c:v>
                </c:pt>
                <c:pt idx="25">
                  <c:v>7733</c:v>
                </c:pt>
                <c:pt idx="26">
                  <c:v>4127</c:v>
                </c:pt>
                <c:pt idx="27">
                  <c:v>1447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E8-40D4-9C07-EC0644C5037B}"/>
            </c:ext>
          </c:extLst>
        </c:ser>
        <c:ser>
          <c:idx val="1"/>
          <c:order val="1"/>
          <c:tx>
            <c:strRef>
              <c:f>WF!$C$1</c:f>
              <c:strCache>
                <c:ptCount val="1"/>
                <c:pt idx="0">
                  <c:v>Real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WF!$A$2:$A$30</c:f>
              <c:numCache>
                <c:formatCode>General</c:formatCode>
                <c:ptCount val="29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</c:numCache>
            </c:numRef>
          </c:cat>
          <c:val>
            <c:numRef>
              <c:f>WF!$C$2:$C$30</c:f>
              <c:numCache>
                <c:formatCode>General</c:formatCode>
                <c:ptCount val="29"/>
                <c:pt idx="0">
                  <c:v>101300</c:v>
                </c:pt>
                <c:pt idx="1">
                  <c:v>101100</c:v>
                </c:pt>
                <c:pt idx="2">
                  <c:v>105900</c:v>
                </c:pt>
                <c:pt idx="3">
                  <c:v>104200</c:v>
                </c:pt>
                <c:pt idx="4">
                  <c:v>111500</c:v>
                </c:pt>
                <c:pt idx="5">
                  <c:v>105800</c:v>
                </c:pt>
                <c:pt idx="6">
                  <c:v>112700</c:v>
                </c:pt>
                <c:pt idx="7">
                  <c:v>107400</c:v>
                </c:pt>
                <c:pt idx="8">
                  <c:v>111000</c:v>
                </c:pt>
                <c:pt idx="9">
                  <c:v>120600</c:v>
                </c:pt>
                <c:pt idx="10">
                  <c:v>106600</c:v>
                </c:pt>
                <c:pt idx="11">
                  <c:v>121900</c:v>
                </c:pt>
                <c:pt idx="12">
                  <c:v>119800</c:v>
                </c:pt>
                <c:pt idx="13">
                  <c:v>126200</c:v>
                </c:pt>
                <c:pt idx="14">
                  <c:v>128100</c:v>
                </c:pt>
                <c:pt idx="15">
                  <c:v>114300</c:v>
                </c:pt>
                <c:pt idx="16">
                  <c:v>126200</c:v>
                </c:pt>
                <c:pt idx="17">
                  <c:v>129100</c:v>
                </c:pt>
                <c:pt idx="18">
                  <c:v>124200</c:v>
                </c:pt>
                <c:pt idx="19">
                  <c:v>126100</c:v>
                </c:pt>
                <c:pt idx="20">
                  <c:v>132700</c:v>
                </c:pt>
                <c:pt idx="21">
                  <c:v>132000</c:v>
                </c:pt>
                <c:pt idx="22">
                  <c:v>126700</c:v>
                </c:pt>
                <c:pt idx="23">
                  <c:v>132100</c:v>
                </c:pt>
                <c:pt idx="24">
                  <c:v>133700</c:v>
                </c:pt>
                <c:pt idx="25">
                  <c:v>143100</c:v>
                </c:pt>
                <c:pt idx="26">
                  <c:v>144700</c:v>
                </c:pt>
                <c:pt idx="27">
                  <c:v>148500</c:v>
                </c:pt>
                <c:pt idx="28">
                  <c:v>140000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E8-40D4-9C07-EC0644C503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0989696"/>
        <c:axId val="1970991360"/>
      </c:lineChart>
      <c:catAx>
        <c:axId val="1970989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0991360"/>
        <c:crosses val="autoZero"/>
        <c:auto val="1"/>
        <c:lblAlgn val="ctr"/>
        <c:lblOffset val="100"/>
        <c:noMultiLvlLbl val="0"/>
      </c:catAx>
      <c:valAx>
        <c:axId val="1970991360"/>
        <c:scaling>
          <c:orientation val="minMax"/>
          <c:max val="15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0989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Sheet1!$A$1:$A$60</c:f>
              <c:numCache>
                <c:formatCode>General</c:formatCode>
                <c:ptCount val="60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  <c:pt idx="11">
                  <c:v>31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35</c:v>
                </c:pt>
                <c:pt idx="16">
                  <c:v>36</c:v>
                </c:pt>
                <c:pt idx="17">
                  <c:v>37</c:v>
                </c:pt>
                <c:pt idx="18">
                  <c:v>38</c:v>
                </c:pt>
                <c:pt idx="19">
                  <c:v>39</c:v>
                </c:pt>
                <c:pt idx="20">
                  <c:v>40</c:v>
                </c:pt>
                <c:pt idx="21">
                  <c:v>41</c:v>
                </c:pt>
                <c:pt idx="22">
                  <c:v>42</c:v>
                </c:pt>
                <c:pt idx="23">
                  <c:v>43</c:v>
                </c:pt>
                <c:pt idx="24">
                  <c:v>44</c:v>
                </c:pt>
                <c:pt idx="25">
                  <c:v>45</c:v>
                </c:pt>
                <c:pt idx="26">
                  <c:v>46</c:v>
                </c:pt>
                <c:pt idx="27">
                  <c:v>47</c:v>
                </c:pt>
                <c:pt idx="28">
                  <c:v>48</c:v>
                </c:pt>
                <c:pt idx="29">
                  <c:v>49</c:v>
                </c:pt>
                <c:pt idx="30">
                  <c:v>50</c:v>
                </c:pt>
                <c:pt idx="31">
                  <c:v>51</c:v>
                </c:pt>
                <c:pt idx="32">
                  <c:v>52</c:v>
                </c:pt>
                <c:pt idx="33">
                  <c:v>53</c:v>
                </c:pt>
                <c:pt idx="34">
                  <c:v>54</c:v>
                </c:pt>
                <c:pt idx="35">
                  <c:v>55</c:v>
                </c:pt>
                <c:pt idx="36">
                  <c:v>56</c:v>
                </c:pt>
                <c:pt idx="37">
                  <c:v>57</c:v>
                </c:pt>
                <c:pt idx="38">
                  <c:v>58</c:v>
                </c:pt>
                <c:pt idx="39">
                  <c:v>59</c:v>
                </c:pt>
                <c:pt idx="40">
                  <c:v>60</c:v>
                </c:pt>
                <c:pt idx="41">
                  <c:v>61</c:v>
                </c:pt>
                <c:pt idx="42">
                  <c:v>62</c:v>
                </c:pt>
                <c:pt idx="43">
                  <c:v>63</c:v>
                </c:pt>
                <c:pt idx="44">
                  <c:v>64</c:v>
                </c:pt>
                <c:pt idx="45">
                  <c:v>65</c:v>
                </c:pt>
                <c:pt idx="46">
                  <c:v>66</c:v>
                </c:pt>
                <c:pt idx="47">
                  <c:v>67</c:v>
                </c:pt>
                <c:pt idx="48">
                  <c:v>68</c:v>
                </c:pt>
                <c:pt idx="49">
                  <c:v>69</c:v>
                </c:pt>
                <c:pt idx="50">
                  <c:v>70</c:v>
                </c:pt>
                <c:pt idx="51">
                  <c:v>71</c:v>
                </c:pt>
                <c:pt idx="52">
                  <c:v>72</c:v>
                </c:pt>
                <c:pt idx="53">
                  <c:v>73</c:v>
                </c:pt>
                <c:pt idx="54">
                  <c:v>74</c:v>
                </c:pt>
                <c:pt idx="55">
                  <c:v>75</c:v>
                </c:pt>
                <c:pt idx="56">
                  <c:v>76</c:v>
                </c:pt>
                <c:pt idx="57">
                  <c:v>77</c:v>
                </c:pt>
                <c:pt idx="58">
                  <c:v>78</c:v>
                </c:pt>
                <c:pt idx="59">
                  <c:v>79</c:v>
                </c:pt>
              </c:numCache>
            </c:numRef>
          </c:cat>
          <c:val>
            <c:numRef>
              <c:f>Sheet1!$B$1:$B$60</c:f>
              <c:numCache>
                <c:formatCode>General</c:formatCode>
                <c:ptCount val="60"/>
                <c:pt idx="0">
                  <c:v>5690</c:v>
                </c:pt>
                <c:pt idx="1">
                  <c:v>5690</c:v>
                </c:pt>
                <c:pt idx="2">
                  <c:v>5690</c:v>
                </c:pt>
                <c:pt idx="3">
                  <c:v>5690</c:v>
                </c:pt>
                <c:pt idx="4">
                  <c:v>5690</c:v>
                </c:pt>
                <c:pt idx="5">
                  <c:v>5690</c:v>
                </c:pt>
                <c:pt idx="6">
                  <c:v>5690</c:v>
                </c:pt>
                <c:pt idx="7">
                  <c:v>5690</c:v>
                </c:pt>
                <c:pt idx="8">
                  <c:v>5690</c:v>
                </c:pt>
                <c:pt idx="9">
                  <c:v>5690</c:v>
                </c:pt>
                <c:pt idx="10">
                  <c:v>19860</c:v>
                </c:pt>
                <c:pt idx="11">
                  <c:v>19860</c:v>
                </c:pt>
                <c:pt idx="12">
                  <c:v>19860</c:v>
                </c:pt>
                <c:pt idx="13">
                  <c:v>19860</c:v>
                </c:pt>
                <c:pt idx="14">
                  <c:v>19860</c:v>
                </c:pt>
                <c:pt idx="15">
                  <c:v>19860</c:v>
                </c:pt>
                <c:pt idx="16">
                  <c:v>19860</c:v>
                </c:pt>
                <c:pt idx="17">
                  <c:v>19860</c:v>
                </c:pt>
                <c:pt idx="18">
                  <c:v>19860</c:v>
                </c:pt>
                <c:pt idx="19">
                  <c:v>19860</c:v>
                </c:pt>
                <c:pt idx="20">
                  <c:v>14610</c:v>
                </c:pt>
                <c:pt idx="21">
                  <c:v>14610</c:v>
                </c:pt>
                <c:pt idx="22">
                  <c:v>14610</c:v>
                </c:pt>
                <c:pt idx="23">
                  <c:v>14610</c:v>
                </c:pt>
                <c:pt idx="24">
                  <c:v>14610</c:v>
                </c:pt>
                <c:pt idx="25">
                  <c:v>14610</c:v>
                </c:pt>
                <c:pt idx="26">
                  <c:v>14610</c:v>
                </c:pt>
                <c:pt idx="27">
                  <c:v>14610</c:v>
                </c:pt>
                <c:pt idx="28">
                  <c:v>14610</c:v>
                </c:pt>
                <c:pt idx="29">
                  <c:v>14610</c:v>
                </c:pt>
                <c:pt idx="30">
                  <c:v>9570</c:v>
                </c:pt>
                <c:pt idx="31">
                  <c:v>9570</c:v>
                </c:pt>
                <c:pt idx="32">
                  <c:v>9570</c:v>
                </c:pt>
                <c:pt idx="33">
                  <c:v>9570</c:v>
                </c:pt>
                <c:pt idx="34">
                  <c:v>9570</c:v>
                </c:pt>
                <c:pt idx="35">
                  <c:v>9570</c:v>
                </c:pt>
                <c:pt idx="36">
                  <c:v>9570</c:v>
                </c:pt>
                <c:pt idx="37">
                  <c:v>9570</c:v>
                </c:pt>
                <c:pt idx="38">
                  <c:v>9570</c:v>
                </c:pt>
                <c:pt idx="39">
                  <c:v>9570</c:v>
                </c:pt>
                <c:pt idx="40">
                  <c:v>5830</c:v>
                </c:pt>
                <c:pt idx="41">
                  <c:v>5830</c:v>
                </c:pt>
                <c:pt idx="42">
                  <c:v>5830</c:v>
                </c:pt>
                <c:pt idx="43">
                  <c:v>5830</c:v>
                </c:pt>
                <c:pt idx="44">
                  <c:v>5830</c:v>
                </c:pt>
                <c:pt idx="45">
                  <c:v>5830</c:v>
                </c:pt>
                <c:pt idx="46">
                  <c:v>5830</c:v>
                </c:pt>
                <c:pt idx="47">
                  <c:v>5830</c:v>
                </c:pt>
                <c:pt idx="48">
                  <c:v>5830</c:v>
                </c:pt>
                <c:pt idx="49">
                  <c:v>5830</c:v>
                </c:pt>
                <c:pt idx="50">
                  <c:v>3080</c:v>
                </c:pt>
                <c:pt idx="51">
                  <c:v>3080</c:v>
                </c:pt>
                <c:pt idx="52">
                  <c:v>3080</c:v>
                </c:pt>
                <c:pt idx="53">
                  <c:v>3080</c:v>
                </c:pt>
                <c:pt idx="54">
                  <c:v>3080</c:v>
                </c:pt>
                <c:pt idx="55">
                  <c:v>3080</c:v>
                </c:pt>
                <c:pt idx="56">
                  <c:v>3080</c:v>
                </c:pt>
                <c:pt idx="57">
                  <c:v>3080</c:v>
                </c:pt>
                <c:pt idx="58">
                  <c:v>3080</c:v>
                </c:pt>
                <c:pt idx="59">
                  <c:v>3080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FB-4912-B993-26202C8C8563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Sheet1!$A$1:$A$60</c:f>
              <c:numCache>
                <c:formatCode>General</c:formatCode>
                <c:ptCount val="60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  <c:pt idx="11">
                  <c:v>31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35</c:v>
                </c:pt>
                <c:pt idx="16">
                  <c:v>36</c:v>
                </c:pt>
                <c:pt idx="17">
                  <c:v>37</c:v>
                </c:pt>
                <c:pt idx="18">
                  <c:v>38</c:v>
                </c:pt>
                <c:pt idx="19">
                  <c:v>39</c:v>
                </c:pt>
                <c:pt idx="20">
                  <c:v>40</c:v>
                </c:pt>
                <c:pt idx="21">
                  <c:v>41</c:v>
                </c:pt>
                <c:pt idx="22">
                  <c:v>42</c:v>
                </c:pt>
                <c:pt idx="23">
                  <c:v>43</c:v>
                </c:pt>
                <c:pt idx="24">
                  <c:v>44</c:v>
                </c:pt>
                <c:pt idx="25">
                  <c:v>45</c:v>
                </c:pt>
                <c:pt idx="26">
                  <c:v>46</c:v>
                </c:pt>
                <c:pt idx="27">
                  <c:v>47</c:v>
                </c:pt>
                <c:pt idx="28">
                  <c:v>48</c:v>
                </c:pt>
                <c:pt idx="29">
                  <c:v>49</c:v>
                </c:pt>
                <c:pt idx="30">
                  <c:v>50</c:v>
                </c:pt>
                <c:pt idx="31">
                  <c:v>51</c:v>
                </c:pt>
                <c:pt idx="32">
                  <c:v>52</c:v>
                </c:pt>
                <c:pt idx="33">
                  <c:v>53</c:v>
                </c:pt>
                <c:pt idx="34">
                  <c:v>54</c:v>
                </c:pt>
                <c:pt idx="35">
                  <c:v>55</c:v>
                </c:pt>
                <c:pt idx="36">
                  <c:v>56</c:v>
                </c:pt>
                <c:pt idx="37">
                  <c:v>57</c:v>
                </c:pt>
                <c:pt idx="38">
                  <c:v>58</c:v>
                </c:pt>
                <c:pt idx="39">
                  <c:v>59</c:v>
                </c:pt>
                <c:pt idx="40">
                  <c:v>60</c:v>
                </c:pt>
                <c:pt idx="41">
                  <c:v>61</c:v>
                </c:pt>
                <c:pt idx="42">
                  <c:v>62</c:v>
                </c:pt>
                <c:pt idx="43">
                  <c:v>63</c:v>
                </c:pt>
                <c:pt idx="44">
                  <c:v>64</c:v>
                </c:pt>
                <c:pt idx="45">
                  <c:v>65</c:v>
                </c:pt>
                <c:pt idx="46">
                  <c:v>66</c:v>
                </c:pt>
                <c:pt idx="47">
                  <c:v>67</c:v>
                </c:pt>
                <c:pt idx="48">
                  <c:v>68</c:v>
                </c:pt>
                <c:pt idx="49">
                  <c:v>69</c:v>
                </c:pt>
                <c:pt idx="50">
                  <c:v>70</c:v>
                </c:pt>
                <c:pt idx="51">
                  <c:v>71</c:v>
                </c:pt>
                <c:pt idx="52">
                  <c:v>72</c:v>
                </c:pt>
                <c:pt idx="53">
                  <c:v>73</c:v>
                </c:pt>
                <c:pt idx="54">
                  <c:v>74</c:v>
                </c:pt>
                <c:pt idx="55">
                  <c:v>75</c:v>
                </c:pt>
                <c:pt idx="56">
                  <c:v>76</c:v>
                </c:pt>
                <c:pt idx="57">
                  <c:v>77</c:v>
                </c:pt>
                <c:pt idx="58">
                  <c:v>78</c:v>
                </c:pt>
                <c:pt idx="59">
                  <c:v>79</c:v>
                </c:pt>
              </c:numCache>
            </c:numRef>
          </c:cat>
          <c:val>
            <c:numRef>
              <c:f>Sheet1!$N$1:$N$60</c:f>
              <c:numCache>
                <c:formatCode>General</c:formatCode>
                <c:ptCount val="60"/>
                <c:pt idx="0">
                  <c:v>3400.3599552913674</c:v>
                </c:pt>
                <c:pt idx="1">
                  <c:v>3860.6396721366991</c:v>
                </c:pt>
                <c:pt idx="2">
                  <c:v>4331.8380328201993</c:v>
                </c:pt>
                <c:pt idx="3">
                  <c:v>4840.2317736117448</c:v>
                </c:pt>
                <c:pt idx="4">
                  <c:v>5445.8134430727005</c:v>
                </c:pt>
                <c:pt idx="5">
                  <c:v>6252.2501651171042</c:v>
                </c:pt>
                <c:pt idx="6">
                  <c:v>6936.1652187166583</c:v>
                </c:pt>
                <c:pt idx="7">
                  <c:v>8073.6239394401246</c:v>
                </c:pt>
                <c:pt idx="8">
                  <c:v>9697.0223035106446</c:v>
                </c:pt>
                <c:pt idx="9">
                  <c:v>11700.773425460211</c:v>
                </c:pt>
                <c:pt idx="10">
                  <c:v>14171.137665328795</c:v>
                </c:pt>
                <c:pt idx="11">
                  <c:v>16495.999695168422</c:v>
                </c:pt>
                <c:pt idx="12">
                  <c:v>18436.508052634254</c:v>
                </c:pt>
                <c:pt idx="13">
                  <c:v>19877.295839048922</c:v>
                </c:pt>
                <c:pt idx="14">
                  <c:v>20828.531727887006</c:v>
                </c:pt>
                <c:pt idx="15">
                  <c:v>21047.872275567745</c:v>
                </c:pt>
                <c:pt idx="16">
                  <c:v>20620.062693695061</c:v>
                </c:pt>
                <c:pt idx="17">
                  <c:v>19927.026774373822</c:v>
                </c:pt>
                <c:pt idx="18">
                  <c:v>19016.754322681165</c:v>
                </c:pt>
                <c:pt idx="19">
                  <c:v>17954.762112821554</c:v>
                </c:pt>
                <c:pt idx="20">
                  <c:v>16836.912564141647</c:v>
                </c:pt>
                <c:pt idx="21">
                  <c:v>16093.66712391404</c:v>
                </c:pt>
                <c:pt idx="22">
                  <c:v>15487.501905197381</c:v>
                </c:pt>
                <c:pt idx="23">
                  <c:v>15048.148148148151</c:v>
                </c:pt>
                <c:pt idx="24">
                  <c:v>14742.264898643502</c:v>
                </c:pt>
                <c:pt idx="25">
                  <c:v>14489.236396890721</c:v>
                </c:pt>
                <c:pt idx="26">
                  <c:v>14191.301630848959</c:v>
                </c:pt>
                <c:pt idx="27">
                  <c:v>13768.058222831887</c:v>
                </c:pt>
                <c:pt idx="28">
                  <c:v>13185.756236346084</c:v>
                </c:pt>
                <c:pt idx="29">
                  <c:v>12472.170908906162</c:v>
                </c:pt>
                <c:pt idx="30">
                  <c:v>11707.85466307643</c:v>
                </c:pt>
                <c:pt idx="31">
                  <c:v>10994.525055462414</c:v>
                </c:pt>
                <c:pt idx="32">
                  <c:v>10413.629528019106</c:v>
                </c:pt>
                <c:pt idx="33">
                  <c:v>9995.7562363460875</c:v>
                </c:pt>
                <c:pt idx="34">
                  <c:v>9713.5482395976214</c:v>
                </c:pt>
                <c:pt idx="35">
                  <c:v>9497.6502565665778</c:v>
                </c:pt>
                <c:pt idx="36">
                  <c:v>9264.6471574455099</c:v>
                </c:pt>
                <c:pt idx="37">
                  <c:v>8946.5045978763392</c:v>
                </c:pt>
                <c:pt idx="38">
                  <c:v>8513.3338413859656</c:v>
                </c:pt>
                <c:pt idx="39">
                  <c:v>7983.6144557909538</c:v>
                </c:pt>
                <c:pt idx="40">
                  <c:v>7416.4243255601277</c:v>
                </c:pt>
                <c:pt idx="41">
                  <c:v>6887.0927534759257</c:v>
                </c:pt>
                <c:pt idx="42">
                  <c:v>6456.054971295026</c:v>
                </c:pt>
                <c:pt idx="43">
                  <c:v>6146.0564954529282</c:v>
                </c:pt>
                <c:pt idx="44">
                  <c:v>5936.9039272468617</c:v>
                </c:pt>
                <c:pt idx="45">
                  <c:v>5777.3164659858767</c:v>
                </c:pt>
                <c:pt idx="46">
                  <c:v>5605.6353198191327</c:v>
                </c:pt>
                <c:pt idx="47">
                  <c:v>5371.5856322715035</c:v>
                </c:pt>
                <c:pt idx="48">
                  <c:v>5053.0459448932243</c:v>
                </c:pt>
                <c:pt idx="49">
                  <c:v>4663.5406188081079</c:v>
                </c:pt>
                <c:pt idx="50">
                  <c:v>4246.522718420295</c:v>
                </c:pt>
                <c:pt idx="51">
                  <c:v>3857.6507646192144</c:v>
                </c:pt>
                <c:pt idx="52">
                  <c:v>3542.59462480313</c:v>
                </c:pt>
                <c:pt idx="53">
                  <c:v>3321.8457552202412</c:v>
                </c:pt>
                <c:pt idx="54">
                  <c:v>3189.1170045216691</c:v>
                </c:pt>
                <c:pt idx="55">
                  <c:v>2948.4951989026063</c:v>
                </c:pt>
                <c:pt idx="56">
                  <c:v>2746.853731646599</c:v>
                </c:pt>
                <c:pt idx="57">
                  <c:v>2564.0737184372301</c:v>
                </c:pt>
                <c:pt idx="58">
                  <c:v>2388.512286406205</c:v>
                </c:pt>
                <c:pt idx="59">
                  <c:v>2215.0698572372094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FB-4912-B993-26202C8C85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0578896"/>
        <c:axId val="1060600112"/>
      </c:lineChart>
      <c:catAx>
        <c:axId val="1060578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0600112"/>
        <c:crosses val="autoZero"/>
        <c:auto val="1"/>
        <c:lblAlgn val="ctr"/>
        <c:lblOffset val="100"/>
        <c:noMultiLvlLbl val="0"/>
      </c:catAx>
      <c:valAx>
        <c:axId val="106060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0578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426720</xdr:colOff>
      <xdr:row>1</xdr:row>
      <xdr:rowOff>68580</xdr:rowOff>
    </xdr:from>
    <xdr:to>
      <xdr:col>21</xdr:col>
      <xdr:colOff>480060</xdr:colOff>
      <xdr:row>29</xdr:row>
      <xdr:rowOff>91440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281940</xdr:colOff>
      <xdr:row>0</xdr:row>
      <xdr:rowOff>0</xdr:rowOff>
    </xdr:from>
    <xdr:to>
      <xdr:col>20</xdr:col>
      <xdr:colOff>403860</xdr:colOff>
      <xdr:row>28</xdr:row>
      <xdr:rowOff>22860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190500</xdr:colOff>
      <xdr:row>1</xdr:row>
      <xdr:rowOff>121920</xdr:rowOff>
    </xdr:from>
    <xdr:to>
      <xdr:col>19</xdr:col>
      <xdr:colOff>571500</xdr:colOff>
      <xdr:row>37</xdr:row>
      <xdr:rowOff>30480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68580</xdr:colOff>
      <xdr:row>2</xdr:row>
      <xdr:rowOff>60960</xdr:rowOff>
    </xdr:from>
    <xdr:to>
      <xdr:col>18</xdr:col>
      <xdr:colOff>114300</xdr:colOff>
      <xdr:row>30</xdr:row>
      <xdr:rowOff>30480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396240</xdr:colOff>
      <xdr:row>0</xdr:row>
      <xdr:rowOff>53340</xdr:rowOff>
    </xdr:from>
    <xdr:to>
      <xdr:col>21</xdr:col>
      <xdr:colOff>91440</xdr:colOff>
      <xdr:row>29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487680</xdr:colOff>
      <xdr:row>0</xdr:row>
      <xdr:rowOff>22860</xdr:rowOff>
    </xdr:from>
    <xdr:to>
      <xdr:col>19</xdr:col>
      <xdr:colOff>441960</xdr:colOff>
      <xdr:row>29</xdr:row>
      <xdr:rowOff>60960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381000</xdr:colOff>
      <xdr:row>0</xdr:row>
      <xdr:rowOff>53340</xdr:rowOff>
    </xdr:from>
    <xdr:to>
      <xdr:col>19</xdr:col>
      <xdr:colOff>327660</xdr:colOff>
      <xdr:row>31</xdr:row>
      <xdr:rowOff>99060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449580</xdr:colOff>
      <xdr:row>0</xdr:row>
      <xdr:rowOff>60960</xdr:rowOff>
    </xdr:from>
    <xdr:to>
      <xdr:col>19</xdr:col>
      <xdr:colOff>548640</xdr:colOff>
      <xdr:row>29</xdr:row>
      <xdr:rowOff>45720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175260</xdr:colOff>
      <xdr:row>0</xdr:row>
      <xdr:rowOff>15240</xdr:rowOff>
    </xdr:from>
    <xdr:to>
      <xdr:col>20</xdr:col>
      <xdr:colOff>114300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259080</xdr:colOff>
      <xdr:row>0</xdr:row>
      <xdr:rowOff>0</xdr:rowOff>
    </xdr:from>
    <xdr:to>
      <xdr:col>17</xdr:col>
      <xdr:colOff>533400</xdr:colOff>
      <xdr:row>29</xdr:row>
      <xdr:rowOff>144780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60960</xdr:colOff>
      <xdr:row>0</xdr:row>
      <xdr:rowOff>38100</xdr:rowOff>
    </xdr:from>
    <xdr:to>
      <xdr:col>21</xdr:col>
      <xdr:colOff>457200</xdr:colOff>
      <xdr:row>30</xdr:row>
      <xdr:rowOff>15240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0</xdr:row>
      <xdr:rowOff>83820</xdr:rowOff>
    </xdr:from>
    <xdr:to>
      <xdr:col>20</xdr:col>
      <xdr:colOff>601980</xdr:colOff>
      <xdr:row>29</xdr:row>
      <xdr:rowOff>91440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152400</xdr:colOff>
      <xdr:row>0</xdr:row>
      <xdr:rowOff>15240</xdr:rowOff>
    </xdr:from>
    <xdr:to>
      <xdr:col>19</xdr:col>
      <xdr:colOff>182880</xdr:colOff>
      <xdr:row>30</xdr:row>
      <xdr:rowOff>22860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0</xdr:row>
      <xdr:rowOff>0</xdr:rowOff>
    </xdr:from>
    <xdr:to>
      <xdr:col>18</xdr:col>
      <xdr:colOff>358140</xdr:colOff>
      <xdr:row>29</xdr:row>
      <xdr:rowOff>121920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289560</xdr:colOff>
      <xdr:row>0</xdr:row>
      <xdr:rowOff>0</xdr:rowOff>
    </xdr:from>
    <xdr:to>
      <xdr:col>21</xdr:col>
      <xdr:colOff>541020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68580</xdr:colOff>
      <xdr:row>6</xdr:row>
      <xdr:rowOff>99060</xdr:rowOff>
    </xdr:from>
    <xdr:to>
      <xdr:col>29</xdr:col>
      <xdr:colOff>190500</xdr:colOff>
      <xdr:row>30</xdr:row>
      <xdr:rowOff>60960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C31"/>
  <sheetViews>
    <sheetView workbookViewId="0">
      <selection sqref="A1:JD31"/>
    </sheetView>
  </sheetViews>
  <sheetFormatPr defaultRowHeight="14.4" x14ac:dyDescent="0.3"/>
  <cols>
    <col min="1" max="105" width="20.77734375" style="1" customWidth="1"/>
    <col min="106" max="263" width="20.77734375" customWidth="1"/>
  </cols>
  <sheetData>
    <row r="1" spans="1:263" x14ac:dyDescent="0.3">
      <c r="A1" s="1" t="s">
        <v>0</v>
      </c>
      <c r="B1" s="1" t="s">
        <v>1</v>
      </c>
      <c r="C1" s="1" t="s">
        <v>2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  <c r="U1" s="1" t="s">
        <v>65</v>
      </c>
      <c r="V1" s="1" t="s">
        <v>66</v>
      </c>
      <c r="W1" s="1" t="s">
        <v>67</v>
      </c>
      <c r="X1" s="1" t="s">
        <v>68</v>
      </c>
      <c r="Y1" s="1" t="s">
        <v>69</v>
      </c>
      <c r="Z1" s="1" t="s">
        <v>70</v>
      </c>
      <c r="AA1" s="1" t="s">
        <v>71</v>
      </c>
      <c r="AB1" s="1" t="s">
        <v>72</v>
      </c>
      <c r="AC1" s="1" t="s">
        <v>73</v>
      </c>
      <c r="AD1" s="1" t="s">
        <v>74</v>
      </c>
      <c r="AE1" s="1" t="s">
        <v>75</v>
      </c>
      <c r="AF1" s="1" t="s">
        <v>76</v>
      </c>
      <c r="AG1" s="1" t="s">
        <v>77</v>
      </c>
      <c r="AH1" s="1" t="s">
        <v>78</v>
      </c>
      <c r="AI1" s="1" t="s">
        <v>79</v>
      </c>
      <c r="AJ1" s="1" t="s">
        <v>80</v>
      </c>
      <c r="AK1" s="1" t="s">
        <v>81</v>
      </c>
      <c r="AL1" s="1" t="s">
        <v>82</v>
      </c>
      <c r="AM1" s="1" t="s">
        <v>83</v>
      </c>
      <c r="AN1" s="1" t="s">
        <v>84</v>
      </c>
      <c r="AO1" s="1" t="s">
        <v>85</v>
      </c>
      <c r="AP1" s="1" t="s">
        <v>86</v>
      </c>
      <c r="AQ1" s="1" t="s">
        <v>87</v>
      </c>
      <c r="AR1" s="1" t="s">
        <v>88</v>
      </c>
      <c r="AS1" s="1" t="s">
        <v>89</v>
      </c>
      <c r="AT1" s="1" t="s">
        <v>90</v>
      </c>
      <c r="AU1" s="1" t="s">
        <v>91</v>
      </c>
      <c r="AV1" s="1" t="s">
        <v>92</v>
      </c>
      <c r="AW1" s="1" t="s">
        <v>93</v>
      </c>
      <c r="AX1" s="1" t="s">
        <v>94</v>
      </c>
      <c r="AY1" s="1" t="s">
        <v>95</v>
      </c>
      <c r="AZ1" s="1" t="s">
        <v>96</v>
      </c>
      <c r="BA1" s="1" t="s">
        <v>97</v>
      </c>
      <c r="BB1" s="1" t="s">
        <v>98</v>
      </c>
      <c r="BC1" s="1" t="s">
        <v>99</v>
      </c>
      <c r="BD1" s="1" t="s">
        <v>100</v>
      </c>
      <c r="BE1" s="1" t="s">
        <v>101</v>
      </c>
      <c r="BF1" s="1" t="s">
        <v>102</v>
      </c>
      <c r="BG1" s="1" t="s">
        <v>103</v>
      </c>
      <c r="BH1" s="1" t="s">
        <v>104</v>
      </c>
      <c r="BI1" s="1" t="s">
        <v>105</v>
      </c>
      <c r="BJ1" s="1" t="s">
        <v>106</v>
      </c>
      <c r="BK1" s="1" t="s">
        <v>107</v>
      </c>
      <c r="BL1" s="1" t="s">
        <v>108</v>
      </c>
      <c r="BM1" s="1" t="s">
        <v>109</v>
      </c>
      <c r="BN1" s="1" t="s">
        <v>110</v>
      </c>
      <c r="BO1" s="1" t="s">
        <v>111</v>
      </c>
      <c r="BP1" s="1" t="s">
        <v>112</v>
      </c>
      <c r="BQ1" s="1" t="s">
        <v>113</v>
      </c>
      <c r="BR1" s="1" t="s">
        <v>114</v>
      </c>
      <c r="BS1" s="1" t="s">
        <v>115</v>
      </c>
      <c r="BT1" s="1" t="s">
        <v>116</v>
      </c>
      <c r="BU1" s="1" t="s">
        <v>117</v>
      </c>
      <c r="BV1" s="1" t="s">
        <v>118</v>
      </c>
      <c r="BW1" s="1" t="s">
        <v>119</v>
      </c>
      <c r="BX1" s="1" t="s">
        <v>120</v>
      </c>
      <c r="BY1" s="1" t="s">
        <v>121</v>
      </c>
      <c r="BZ1" s="1" t="s">
        <v>122</v>
      </c>
      <c r="CA1" s="1" t="s">
        <v>123</v>
      </c>
      <c r="CB1" s="1" t="s">
        <v>124</v>
      </c>
      <c r="CC1" s="1" t="s">
        <v>125</v>
      </c>
      <c r="CD1" s="1" t="s">
        <v>126</v>
      </c>
      <c r="CE1" s="1" t="s">
        <v>127</v>
      </c>
      <c r="CF1" s="1" t="s">
        <v>128</v>
      </c>
      <c r="CG1" s="1" t="s">
        <v>129</v>
      </c>
      <c r="CH1" s="1" t="s">
        <v>130</v>
      </c>
      <c r="CI1" s="1" t="s">
        <v>131</v>
      </c>
      <c r="CJ1" s="1" t="s">
        <v>132</v>
      </c>
      <c r="CK1" s="1" t="s">
        <v>133</v>
      </c>
      <c r="CL1" s="1" t="s">
        <v>134</v>
      </c>
      <c r="CM1" s="1" t="s">
        <v>3</v>
      </c>
      <c r="CN1" s="1" t="s">
        <v>135</v>
      </c>
      <c r="CO1" s="1" t="s">
        <v>136</v>
      </c>
      <c r="CP1" s="1" t="s">
        <v>137</v>
      </c>
      <c r="CQ1" s="1" t="s">
        <v>138</v>
      </c>
      <c r="CR1" s="1" t="s">
        <v>139</v>
      </c>
      <c r="CS1" s="1" t="s">
        <v>140</v>
      </c>
      <c r="CT1" s="1" t="s">
        <v>141</v>
      </c>
      <c r="CU1" s="1" t="s">
        <v>142</v>
      </c>
      <c r="CV1" s="1" t="s">
        <v>143</v>
      </c>
      <c r="CW1" s="1" t="s">
        <v>144</v>
      </c>
      <c r="CX1" s="1" t="s">
        <v>145</v>
      </c>
      <c r="CY1" s="1" t="s">
        <v>146</v>
      </c>
      <c r="CZ1" s="1" t="s">
        <v>147</v>
      </c>
      <c r="DA1" s="1" t="s">
        <v>148</v>
      </c>
      <c r="DB1" t="s">
        <v>248</v>
      </c>
      <c r="DC1" t="s">
        <v>149</v>
      </c>
      <c r="DD1" t="s">
        <v>150</v>
      </c>
      <c r="DE1" t="s">
        <v>151</v>
      </c>
      <c r="DF1" t="s">
        <v>152</v>
      </c>
      <c r="DG1" t="s">
        <v>153</v>
      </c>
      <c r="DH1" t="s">
        <v>154</v>
      </c>
      <c r="DI1" t="s">
        <v>155</v>
      </c>
      <c r="DJ1" t="s">
        <v>156</v>
      </c>
      <c r="DK1" t="s">
        <v>157</v>
      </c>
      <c r="DL1" t="s">
        <v>158</v>
      </c>
      <c r="DM1" t="s">
        <v>159</v>
      </c>
      <c r="DN1" t="s">
        <v>160</v>
      </c>
      <c r="DO1" t="s">
        <v>161</v>
      </c>
      <c r="DP1" t="s">
        <v>162</v>
      </c>
      <c r="DQ1" t="s">
        <v>163</v>
      </c>
      <c r="DR1" t="s">
        <v>164</v>
      </c>
      <c r="DS1" t="s">
        <v>165</v>
      </c>
      <c r="DT1" t="s">
        <v>166</v>
      </c>
      <c r="DU1" t="s">
        <v>167</v>
      </c>
      <c r="DV1" t="s">
        <v>168</v>
      </c>
      <c r="DW1" t="s">
        <v>169</v>
      </c>
      <c r="DX1" t="s">
        <v>170</v>
      </c>
      <c r="DY1" t="s">
        <v>171</v>
      </c>
      <c r="DZ1" t="s">
        <v>172</v>
      </c>
      <c r="EA1" t="s">
        <v>173</v>
      </c>
      <c r="EB1" t="s">
        <v>174</v>
      </c>
      <c r="EC1" t="s">
        <v>175</v>
      </c>
      <c r="ED1" t="s">
        <v>176</v>
      </c>
      <c r="EE1" t="s">
        <v>177</v>
      </c>
      <c r="EF1" t="s">
        <v>178</v>
      </c>
      <c r="EG1" t="s">
        <v>179</v>
      </c>
      <c r="EH1" t="s">
        <v>180</v>
      </c>
      <c r="EI1" t="s">
        <v>181</v>
      </c>
      <c r="EJ1" t="s">
        <v>182</v>
      </c>
      <c r="EK1" t="s">
        <v>183</v>
      </c>
      <c r="EL1" t="s">
        <v>184</v>
      </c>
      <c r="EM1" t="s">
        <v>185</v>
      </c>
      <c r="EN1" t="s">
        <v>186</v>
      </c>
      <c r="EO1" t="s">
        <v>187</v>
      </c>
      <c r="EP1" t="s">
        <v>188</v>
      </c>
      <c r="EQ1" t="s">
        <v>189</v>
      </c>
      <c r="ER1" t="s">
        <v>190</v>
      </c>
      <c r="ES1" t="s">
        <v>191</v>
      </c>
      <c r="ET1" t="s">
        <v>192</v>
      </c>
      <c r="EU1" t="s">
        <v>193</v>
      </c>
      <c r="EV1" t="s">
        <v>194</v>
      </c>
      <c r="EW1" t="s">
        <v>195</v>
      </c>
      <c r="EX1" t="s">
        <v>196</v>
      </c>
      <c r="EY1" t="s">
        <v>197</v>
      </c>
      <c r="EZ1" t="s">
        <v>198</v>
      </c>
      <c r="FA1" t="s">
        <v>199</v>
      </c>
      <c r="FB1" t="s">
        <v>200</v>
      </c>
      <c r="FC1" t="s">
        <v>201</v>
      </c>
      <c r="FD1" t="s">
        <v>202</v>
      </c>
      <c r="FE1" t="s">
        <v>203</v>
      </c>
      <c r="FF1" t="s">
        <v>204</v>
      </c>
      <c r="FG1" t="s">
        <v>205</v>
      </c>
      <c r="FH1" t="s">
        <v>206</v>
      </c>
      <c r="FI1" t="s">
        <v>207</v>
      </c>
      <c r="FJ1" t="s">
        <v>208</v>
      </c>
      <c r="FK1" t="s">
        <v>209</v>
      </c>
      <c r="FL1" t="s">
        <v>210</v>
      </c>
      <c r="FM1" t="s">
        <v>211</v>
      </c>
      <c r="FN1" t="s">
        <v>212</v>
      </c>
      <c r="FO1" t="s">
        <v>213</v>
      </c>
      <c r="FP1" t="s">
        <v>214</v>
      </c>
      <c r="FQ1" t="s">
        <v>215</v>
      </c>
      <c r="FR1" t="s">
        <v>216</v>
      </c>
      <c r="FS1" t="s">
        <v>217</v>
      </c>
      <c r="FT1" t="s">
        <v>218</v>
      </c>
      <c r="FU1" t="s">
        <v>219</v>
      </c>
      <c r="FV1" t="s">
        <v>220</v>
      </c>
      <c r="FW1" t="s">
        <v>221</v>
      </c>
      <c r="FX1" t="s">
        <v>222</v>
      </c>
      <c r="FY1" t="s">
        <v>223</v>
      </c>
      <c r="FZ1" t="s">
        <v>224</v>
      </c>
      <c r="GA1" t="s">
        <v>225</v>
      </c>
      <c r="GB1" t="s">
        <v>226</v>
      </c>
      <c r="GC1" t="s">
        <v>227</v>
      </c>
      <c r="GD1" t="s">
        <v>228</v>
      </c>
      <c r="GE1" t="s">
        <v>229</v>
      </c>
      <c r="GF1" t="s">
        <v>230</v>
      </c>
      <c r="GG1" t="s">
        <v>231</v>
      </c>
      <c r="GH1" t="s">
        <v>232</v>
      </c>
      <c r="GI1" t="s">
        <v>233</v>
      </c>
      <c r="GJ1" t="s">
        <v>4</v>
      </c>
      <c r="GK1" t="s">
        <v>234</v>
      </c>
      <c r="GL1" t="s">
        <v>235</v>
      </c>
      <c r="GM1" t="s">
        <v>236</v>
      </c>
      <c r="GN1" t="s">
        <v>237</v>
      </c>
      <c r="GO1" t="s">
        <v>238</v>
      </c>
      <c r="GP1" t="s">
        <v>239</v>
      </c>
      <c r="GQ1" t="s">
        <v>240</v>
      </c>
      <c r="GR1" t="s">
        <v>241</v>
      </c>
      <c r="GS1" t="s">
        <v>242</v>
      </c>
      <c r="GT1" t="s">
        <v>243</v>
      </c>
      <c r="GU1" t="s">
        <v>244</v>
      </c>
      <c r="GV1" t="s">
        <v>245</v>
      </c>
      <c r="GW1" t="s">
        <v>246</v>
      </c>
      <c r="GX1" t="s">
        <v>247</v>
      </c>
      <c r="GY1" t="s">
        <v>249</v>
      </c>
      <c r="GZ1" t="s">
        <v>5</v>
      </c>
      <c r="HA1" t="s">
        <v>6</v>
      </c>
      <c r="HB1" t="s">
        <v>7</v>
      </c>
      <c r="HC1" t="s">
        <v>8</v>
      </c>
      <c r="HD1" t="s">
        <v>9</v>
      </c>
      <c r="HE1" t="s">
        <v>250</v>
      </c>
      <c r="HF1" t="s">
        <v>258</v>
      </c>
      <c r="HG1" t="s">
        <v>10</v>
      </c>
      <c r="HH1" t="s">
        <v>11</v>
      </c>
      <c r="HI1" t="s">
        <v>12</v>
      </c>
      <c r="HJ1" t="s">
        <v>13</v>
      </c>
      <c r="HK1" t="s">
        <v>14</v>
      </c>
      <c r="HL1" t="s">
        <v>251</v>
      </c>
      <c r="HM1" t="s">
        <v>259</v>
      </c>
      <c r="HN1" t="s">
        <v>15</v>
      </c>
      <c r="HO1" t="s">
        <v>16</v>
      </c>
      <c r="HP1" t="s">
        <v>17</v>
      </c>
      <c r="HQ1" t="s">
        <v>18</v>
      </c>
      <c r="HR1" t="s">
        <v>19</v>
      </c>
      <c r="HS1" t="s">
        <v>252</v>
      </c>
      <c r="HT1" t="s">
        <v>260</v>
      </c>
      <c r="HU1" t="s">
        <v>20</v>
      </c>
      <c r="HV1" t="s">
        <v>21</v>
      </c>
      <c r="HW1" t="s">
        <v>22</v>
      </c>
      <c r="HX1" t="s">
        <v>23</v>
      </c>
      <c r="HY1" t="s">
        <v>24</v>
      </c>
      <c r="HZ1" t="s">
        <v>253</v>
      </c>
      <c r="IA1" t="s">
        <v>261</v>
      </c>
      <c r="IB1" t="s">
        <v>25</v>
      </c>
      <c r="IC1" t="s">
        <v>26</v>
      </c>
      <c r="ID1" t="s">
        <v>27</v>
      </c>
      <c r="IE1" t="s">
        <v>28</v>
      </c>
      <c r="IF1" t="s">
        <v>29</v>
      </c>
      <c r="IG1" t="s">
        <v>254</v>
      </c>
      <c r="IH1" t="s">
        <v>262</v>
      </c>
      <c r="II1" t="s">
        <v>30</v>
      </c>
      <c r="IJ1" t="s">
        <v>31</v>
      </c>
      <c r="IK1" t="s">
        <v>32</v>
      </c>
      <c r="IL1" t="s">
        <v>33</v>
      </c>
      <c r="IM1" t="s">
        <v>34</v>
      </c>
      <c r="IN1" t="s">
        <v>255</v>
      </c>
      <c r="IO1" t="s">
        <v>263</v>
      </c>
      <c r="IP1" t="s">
        <v>35</v>
      </c>
      <c r="IQ1" t="s">
        <v>36</v>
      </c>
      <c r="IR1" t="s">
        <v>37</v>
      </c>
      <c r="IS1" t="s">
        <v>38</v>
      </c>
      <c r="IT1" t="s">
        <v>39</v>
      </c>
      <c r="IU1" t="s">
        <v>256</v>
      </c>
      <c r="IV1" t="s">
        <v>264</v>
      </c>
      <c r="IW1" t="s">
        <v>40</v>
      </c>
      <c r="IX1" t="s">
        <v>41</v>
      </c>
      <c r="IY1" t="s">
        <v>42</v>
      </c>
      <c r="IZ1" t="s">
        <v>43</v>
      </c>
      <c r="JA1" t="s">
        <v>44</v>
      </c>
      <c r="JB1" t="s">
        <v>257</v>
      </c>
      <c r="JC1" t="s">
        <v>265</v>
      </c>
    </row>
    <row r="2" spans="1:263" x14ac:dyDescent="0.3">
      <c r="A2" s="1">
        <v>1990</v>
      </c>
      <c r="B2" s="1">
        <v>2735862</v>
      </c>
      <c r="C2" s="1">
        <v>246389</v>
      </c>
      <c r="D2" s="1">
        <v>1386293</v>
      </c>
      <c r="E2" s="1">
        <v>1349569</v>
      </c>
      <c r="F2" s="1">
        <v>23192</v>
      </c>
      <c r="G2" s="1">
        <v>23157</v>
      </c>
      <c r="H2" s="1">
        <v>23042</v>
      </c>
      <c r="I2" s="1">
        <v>22813</v>
      </c>
      <c r="J2" s="1">
        <v>22469</v>
      </c>
      <c r="K2" s="1">
        <v>22076</v>
      </c>
      <c r="L2" s="1">
        <v>21715</v>
      </c>
      <c r="M2" s="1">
        <v>21435</v>
      </c>
      <c r="N2" s="1">
        <v>21220</v>
      </c>
      <c r="O2" s="1">
        <v>21031</v>
      </c>
      <c r="P2" s="1">
        <v>20863</v>
      </c>
      <c r="Q2" s="1">
        <v>20764</v>
      </c>
      <c r="R2" s="1">
        <v>20818</v>
      </c>
      <c r="S2" s="1">
        <v>21078</v>
      </c>
      <c r="T2" s="1">
        <v>21527</v>
      </c>
      <c r="U2" s="1">
        <v>22056</v>
      </c>
      <c r="V2" s="1">
        <v>22547</v>
      </c>
      <c r="W2" s="1">
        <v>22936</v>
      </c>
      <c r="X2" s="1">
        <v>23249</v>
      </c>
      <c r="Y2" s="1">
        <v>23537</v>
      </c>
      <c r="Z2" s="1">
        <v>23837</v>
      </c>
      <c r="AA2" s="1">
        <v>24181</v>
      </c>
      <c r="AB2" s="1">
        <v>24662</v>
      </c>
      <c r="AC2" s="1">
        <v>25386</v>
      </c>
      <c r="AD2" s="1">
        <v>26381</v>
      </c>
      <c r="AE2" s="1">
        <v>27487</v>
      </c>
      <c r="AF2" s="1">
        <v>28474</v>
      </c>
      <c r="AG2" s="1">
        <v>29174</v>
      </c>
      <c r="AH2" s="1">
        <v>29605</v>
      </c>
      <c r="AI2" s="1">
        <v>29875</v>
      </c>
      <c r="AJ2" s="1">
        <v>30063</v>
      </c>
      <c r="AK2" s="1">
        <v>30136</v>
      </c>
      <c r="AL2" s="1">
        <v>29976</v>
      </c>
      <c r="AM2" s="1">
        <v>29494</v>
      </c>
      <c r="AN2" s="1">
        <v>28708</v>
      </c>
      <c r="AO2" s="1">
        <v>27779</v>
      </c>
      <c r="AP2" s="1">
        <v>26868</v>
      </c>
      <c r="AQ2" s="1">
        <v>26011</v>
      </c>
      <c r="AR2" s="1">
        <v>25102</v>
      </c>
      <c r="AS2" s="1">
        <v>24051</v>
      </c>
      <c r="AT2" s="1">
        <v>22910</v>
      </c>
      <c r="AU2" s="1">
        <v>21784</v>
      </c>
      <c r="AV2" s="1">
        <v>20653</v>
      </c>
      <c r="AW2" s="1">
        <v>19354</v>
      </c>
      <c r="AX2" s="1">
        <v>17778</v>
      </c>
      <c r="AY2" s="1">
        <v>16087</v>
      </c>
      <c r="AZ2" s="1">
        <v>14597</v>
      </c>
      <c r="BA2" s="1">
        <v>13552</v>
      </c>
      <c r="BB2" s="1">
        <v>12933</v>
      </c>
      <c r="BC2" s="1">
        <v>12574</v>
      </c>
      <c r="BD2" s="1">
        <v>12312</v>
      </c>
      <c r="BE2" s="1">
        <v>12078</v>
      </c>
      <c r="BF2" s="1">
        <v>11829</v>
      </c>
      <c r="BG2" s="1">
        <v>11527</v>
      </c>
      <c r="BH2" s="1">
        <v>11149</v>
      </c>
      <c r="BI2" s="1">
        <v>10734</v>
      </c>
      <c r="BJ2" s="1">
        <v>10342</v>
      </c>
      <c r="BK2" s="1">
        <v>9996</v>
      </c>
      <c r="BL2" s="1">
        <v>9659</v>
      </c>
      <c r="BM2" s="1">
        <v>9293</v>
      </c>
      <c r="BN2" s="1">
        <v>8906</v>
      </c>
      <c r="BO2" s="1">
        <v>8531</v>
      </c>
      <c r="BP2" s="1">
        <v>8169</v>
      </c>
      <c r="BQ2" s="1">
        <v>7771</v>
      </c>
      <c r="BR2" s="1">
        <v>7301</v>
      </c>
      <c r="BS2" s="1">
        <v>6796</v>
      </c>
      <c r="BT2" s="1">
        <v>6325</v>
      </c>
      <c r="BU2" s="1">
        <v>5927</v>
      </c>
      <c r="BV2" s="1">
        <v>5563</v>
      </c>
      <c r="BW2" s="1">
        <v>5186</v>
      </c>
      <c r="BX2" s="1">
        <v>4799</v>
      </c>
      <c r="BY2" s="1">
        <v>4443</v>
      </c>
      <c r="BZ2" s="1">
        <v>4142</v>
      </c>
      <c r="CA2" s="1">
        <v>3869</v>
      </c>
      <c r="CB2" s="1">
        <v>3588</v>
      </c>
      <c r="CC2" s="1">
        <v>3297</v>
      </c>
      <c r="CD2" s="1">
        <v>3024</v>
      </c>
      <c r="CE2" s="1">
        <v>2776</v>
      </c>
      <c r="CF2" s="1">
        <v>2524</v>
      </c>
      <c r="CG2" s="1">
        <v>2243</v>
      </c>
      <c r="CH2" s="1">
        <v>1946</v>
      </c>
      <c r="CI2" s="1">
        <v>1675</v>
      </c>
      <c r="CJ2" s="1">
        <v>1458</v>
      </c>
      <c r="CK2" s="1">
        <v>1278</v>
      </c>
      <c r="CL2" s="1">
        <v>1107</v>
      </c>
      <c r="CM2" s="1">
        <v>940</v>
      </c>
      <c r="CN2" s="1">
        <v>797</v>
      </c>
      <c r="CO2" s="1">
        <v>702</v>
      </c>
      <c r="CP2" s="1">
        <v>654</v>
      </c>
      <c r="CQ2" s="1">
        <v>640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1">
        <v>0</v>
      </c>
      <c r="CX2" s="1">
        <v>0</v>
      </c>
      <c r="CY2" s="1">
        <v>0</v>
      </c>
      <c r="CZ2" s="1">
        <v>0</v>
      </c>
      <c r="DA2" s="1">
        <v>0</v>
      </c>
      <c r="DB2">
        <v>30.1919998153348</v>
      </c>
      <c r="DC2">
        <v>21607</v>
      </c>
      <c r="DD2">
        <v>21584</v>
      </c>
      <c r="DE2">
        <v>21494</v>
      </c>
      <c r="DF2">
        <v>21269</v>
      </c>
      <c r="DG2">
        <v>20908</v>
      </c>
      <c r="DH2">
        <v>20480</v>
      </c>
      <c r="DI2">
        <v>20112</v>
      </c>
      <c r="DJ2">
        <v>19856</v>
      </c>
      <c r="DK2">
        <v>19689</v>
      </c>
      <c r="DL2">
        <v>19545</v>
      </c>
      <c r="DM2">
        <v>19400</v>
      </c>
      <c r="DN2">
        <v>19309</v>
      </c>
      <c r="DO2">
        <v>19354</v>
      </c>
      <c r="DP2">
        <v>19626</v>
      </c>
      <c r="DQ2">
        <v>20103</v>
      </c>
      <c r="DR2">
        <v>20679</v>
      </c>
      <c r="DS2">
        <v>21187</v>
      </c>
      <c r="DT2">
        <v>21581</v>
      </c>
      <c r="DU2">
        <v>21932</v>
      </c>
      <c r="DV2">
        <v>22329</v>
      </c>
      <c r="DW2">
        <v>22766</v>
      </c>
      <c r="DX2">
        <v>23196</v>
      </c>
      <c r="DY2">
        <v>23681</v>
      </c>
      <c r="DZ2">
        <v>24410</v>
      </c>
      <c r="EA2">
        <v>25452</v>
      </c>
      <c r="EB2">
        <v>26663</v>
      </c>
      <c r="EC2">
        <v>27690</v>
      </c>
      <c r="ED2">
        <v>28356</v>
      </c>
      <c r="EE2">
        <v>28685</v>
      </c>
      <c r="EF2">
        <v>28868</v>
      </c>
      <c r="EG2">
        <v>29008</v>
      </c>
      <c r="EH2">
        <v>29076</v>
      </c>
      <c r="EI2">
        <v>28946</v>
      </c>
      <c r="EJ2">
        <v>28467</v>
      </c>
      <c r="EK2">
        <v>27660</v>
      </c>
      <c r="EL2">
        <v>26692</v>
      </c>
      <c r="EM2">
        <v>25819</v>
      </c>
      <c r="EN2">
        <v>25073</v>
      </c>
      <c r="EO2">
        <v>24278</v>
      </c>
      <c r="EP2">
        <v>23280</v>
      </c>
      <c r="EQ2">
        <v>22156</v>
      </c>
      <c r="ER2">
        <v>21116</v>
      </c>
      <c r="ES2">
        <v>20149</v>
      </c>
      <c r="ET2">
        <v>18975</v>
      </c>
      <c r="EU2">
        <v>17416</v>
      </c>
      <c r="EV2">
        <v>15635</v>
      </c>
      <c r="EW2">
        <v>14123</v>
      </c>
      <c r="EX2">
        <v>13135</v>
      </c>
      <c r="EY2">
        <v>12635</v>
      </c>
      <c r="EZ2">
        <v>12341</v>
      </c>
      <c r="FA2">
        <v>12102</v>
      </c>
      <c r="FB2">
        <v>11881</v>
      </c>
      <c r="FC2">
        <v>11673</v>
      </c>
      <c r="FD2">
        <v>11416</v>
      </c>
      <c r="FE2">
        <v>11073</v>
      </c>
      <c r="FF2">
        <v>10679</v>
      </c>
      <c r="FG2">
        <v>10328</v>
      </c>
      <c r="FH2">
        <v>10039</v>
      </c>
      <c r="FI2">
        <v>9753</v>
      </c>
      <c r="FJ2">
        <v>9405</v>
      </c>
      <c r="FK2">
        <v>9018</v>
      </c>
      <c r="FL2">
        <v>8663</v>
      </c>
      <c r="FM2">
        <v>8346</v>
      </c>
      <c r="FN2">
        <v>7982</v>
      </c>
      <c r="FO2">
        <v>7511</v>
      </c>
      <c r="FP2">
        <v>6975</v>
      </c>
      <c r="FQ2">
        <v>6509</v>
      </c>
      <c r="FR2">
        <v>6168</v>
      </c>
      <c r="FS2">
        <v>5908</v>
      </c>
      <c r="FT2">
        <v>5644</v>
      </c>
      <c r="FU2">
        <v>5364</v>
      </c>
      <c r="FV2">
        <v>5113</v>
      </c>
      <c r="FW2">
        <v>4905</v>
      </c>
      <c r="FX2">
        <v>4696</v>
      </c>
      <c r="FY2">
        <v>4440</v>
      </c>
      <c r="FZ2">
        <v>4154</v>
      </c>
      <c r="GA2">
        <v>3893</v>
      </c>
      <c r="GB2">
        <v>3664</v>
      </c>
      <c r="GC2">
        <v>3408</v>
      </c>
      <c r="GD2">
        <v>3080</v>
      </c>
      <c r="GE2">
        <v>2707</v>
      </c>
      <c r="GF2">
        <v>2384</v>
      </c>
      <c r="GG2">
        <v>2148</v>
      </c>
      <c r="GH2">
        <v>1970</v>
      </c>
      <c r="GI2">
        <v>1792</v>
      </c>
      <c r="GJ2">
        <v>1602</v>
      </c>
      <c r="GK2">
        <v>1443</v>
      </c>
      <c r="GL2">
        <v>1344</v>
      </c>
      <c r="GM2">
        <v>1304</v>
      </c>
      <c r="GN2">
        <v>1294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31.205501904682102</v>
      </c>
      <c r="GZ2">
        <v>816</v>
      </c>
      <c r="HA2">
        <v>3601</v>
      </c>
      <c r="HB2">
        <v>3000</v>
      </c>
      <c r="HC2">
        <v>1701</v>
      </c>
      <c r="HD2">
        <v>702</v>
      </c>
      <c r="HE2">
        <v>233</v>
      </c>
      <c r="HF2">
        <v>66</v>
      </c>
      <c r="HG2">
        <v>2000</v>
      </c>
      <c r="HH2">
        <v>6298</v>
      </c>
      <c r="HI2">
        <v>5302</v>
      </c>
      <c r="HJ2">
        <v>2700</v>
      </c>
      <c r="HK2">
        <v>1001</v>
      </c>
      <c r="HL2">
        <v>314</v>
      </c>
      <c r="HM2">
        <v>86</v>
      </c>
      <c r="HN2">
        <v>73837</v>
      </c>
      <c r="HO2">
        <v>198600</v>
      </c>
      <c r="HP2">
        <v>144326</v>
      </c>
      <c r="HQ2">
        <v>95702</v>
      </c>
      <c r="HR2">
        <v>57728</v>
      </c>
      <c r="HS2">
        <v>23376</v>
      </c>
      <c r="HT2">
        <v>6979</v>
      </c>
      <c r="HU2">
        <v>106260</v>
      </c>
      <c r="HV2">
        <v>198600</v>
      </c>
      <c r="HW2">
        <v>146885</v>
      </c>
      <c r="HX2">
        <v>87249</v>
      </c>
      <c r="HY2">
        <v>41223</v>
      </c>
      <c r="HZ2">
        <v>12862</v>
      </c>
      <c r="IA2">
        <v>6743</v>
      </c>
      <c r="IB2">
        <v>193609</v>
      </c>
      <c r="IC2">
        <v>74286</v>
      </c>
      <c r="ID2">
        <v>23097</v>
      </c>
      <c r="IE2">
        <v>8016</v>
      </c>
      <c r="IF2">
        <v>5144</v>
      </c>
      <c r="IG2">
        <v>3172</v>
      </c>
      <c r="IH2">
        <v>1076</v>
      </c>
      <c r="II2">
        <v>150507</v>
      </c>
      <c r="IJ2">
        <v>60301</v>
      </c>
      <c r="IK2">
        <v>8293</v>
      </c>
      <c r="IL2">
        <v>0</v>
      </c>
      <c r="IM2">
        <v>0</v>
      </c>
      <c r="IN2">
        <v>0</v>
      </c>
      <c r="IO2">
        <v>0</v>
      </c>
      <c r="IP2">
        <v>800</v>
      </c>
      <c r="IQ2">
        <v>1701</v>
      </c>
      <c r="IR2">
        <v>1799</v>
      </c>
      <c r="IS2">
        <v>3500</v>
      </c>
      <c r="IT2">
        <v>6901</v>
      </c>
      <c r="IU2">
        <v>7924</v>
      </c>
      <c r="IV2">
        <v>3076</v>
      </c>
      <c r="IW2">
        <v>1000</v>
      </c>
      <c r="IX2">
        <v>3100</v>
      </c>
      <c r="IY2">
        <v>7201</v>
      </c>
      <c r="IZ2">
        <v>18400</v>
      </c>
      <c r="JA2">
        <v>30500</v>
      </c>
      <c r="JB2">
        <v>29541</v>
      </c>
      <c r="JC2">
        <v>11159</v>
      </c>
    </row>
    <row r="3" spans="1:263" x14ac:dyDescent="0.3">
      <c r="A3" s="1">
        <v>1991</v>
      </c>
      <c r="B3" s="1">
        <v>2790350</v>
      </c>
      <c r="C3" s="1">
        <v>310676</v>
      </c>
      <c r="D3" s="1">
        <v>1411319</v>
      </c>
      <c r="E3" s="1">
        <v>1379031</v>
      </c>
      <c r="F3" s="1">
        <v>0</v>
      </c>
      <c r="G3" s="1">
        <v>48314</v>
      </c>
      <c r="H3" s="1">
        <v>23316</v>
      </c>
      <c r="I3" s="1">
        <v>23185</v>
      </c>
      <c r="J3" s="1">
        <v>22953</v>
      </c>
      <c r="K3" s="1">
        <v>22610</v>
      </c>
      <c r="L3" s="1">
        <v>22198</v>
      </c>
      <c r="M3" s="1">
        <v>21841</v>
      </c>
      <c r="N3" s="1">
        <v>21561</v>
      </c>
      <c r="O3" s="1">
        <v>21380</v>
      </c>
      <c r="P3" s="1">
        <v>21169</v>
      </c>
      <c r="Q3" s="1">
        <v>20995</v>
      </c>
      <c r="R3" s="1">
        <v>20886</v>
      </c>
      <c r="S3" s="1">
        <v>20963</v>
      </c>
      <c r="T3" s="1">
        <v>21191</v>
      </c>
      <c r="U3" s="1">
        <v>21627</v>
      </c>
      <c r="V3" s="1">
        <v>22181</v>
      </c>
      <c r="W3" s="1">
        <v>22671</v>
      </c>
      <c r="X3" s="1">
        <v>23060</v>
      </c>
      <c r="Y3" s="1">
        <v>23376</v>
      </c>
      <c r="Z3" s="1">
        <v>23678</v>
      </c>
      <c r="AA3" s="1">
        <v>23946</v>
      </c>
      <c r="AB3" s="1">
        <v>24304</v>
      </c>
      <c r="AC3" s="1">
        <v>24806</v>
      </c>
      <c r="AD3" s="1">
        <v>25522</v>
      </c>
      <c r="AE3" s="1">
        <v>26520</v>
      </c>
      <c r="AF3" s="1">
        <v>27628</v>
      </c>
      <c r="AG3" s="1">
        <v>28630</v>
      </c>
      <c r="AH3" s="1">
        <v>29330</v>
      </c>
      <c r="AI3" s="1">
        <v>29751</v>
      </c>
      <c r="AJ3" s="1">
        <v>30065</v>
      </c>
      <c r="AK3" s="1">
        <v>30210</v>
      </c>
      <c r="AL3" s="1">
        <v>30285</v>
      </c>
      <c r="AM3" s="1">
        <v>30158</v>
      </c>
      <c r="AN3" s="1">
        <v>29643</v>
      </c>
      <c r="AO3" s="1">
        <v>28885</v>
      </c>
      <c r="AP3" s="1">
        <v>27892</v>
      </c>
      <c r="AQ3" s="1">
        <v>26951</v>
      </c>
      <c r="AR3" s="1">
        <v>26105</v>
      </c>
      <c r="AS3" s="1">
        <v>25200</v>
      </c>
      <c r="AT3" s="1">
        <v>24162</v>
      </c>
      <c r="AU3" s="1">
        <v>22970</v>
      </c>
      <c r="AV3" s="1">
        <v>21858</v>
      </c>
      <c r="AW3" s="1">
        <v>20709</v>
      </c>
      <c r="AX3" s="1">
        <v>19425</v>
      </c>
      <c r="AY3" s="1">
        <v>17847</v>
      </c>
      <c r="AZ3" s="1">
        <v>16108</v>
      </c>
      <c r="BA3" s="1">
        <v>14602</v>
      </c>
      <c r="BB3" s="1">
        <v>13565</v>
      </c>
      <c r="BC3" s="1">
        <v>12959</v>
      </c>
      <c r="BD3" s="1">
        <v>12588</v>
      </c>
      <c r="BE3" s="1">
        <v>12283</v>
      </c>
      <c r="BF3" s="1">
        <v>12056</v>
      </c>
      <c r="BG3" s="1">
        <v>11806</v>
      </c>
      <c r="BH3" s="1">
        <v>11506</v>
      </c>
      <c r="BI3" s="1">
        <v>11119</v>
      </c>
      <c r="BJ3" s="1">
        <v>10644</v>
      </c>
      <c r="BK3" s="1">
        <v>10265</v>
      </c>
      <c r="BL3" s="1">
        <v>9914</v>
      </c>
      <c r="BM3" s="1">
        <v>9569</v>
      </c>
      <c r="BN3" s="1">
        <v>9228</v>
      </c>
      <c r="BO3" s="1">
        <v>8737</v>
      </c>
      <c r="BP3" s="1">
        <v>8371</v>
      </c>
      <c r="BQ3" s="1">
        <v>8007</v>
      </c>
      <c r="BR3" s="1">
        <v>7615</v>
      </c>
      <c r="BS3" s="1">
        <v>7176</v>
      </c>
      <c r="BT3" s="1">
        <v>6586</v>
      </c>
      <c r="BU3" s="1">
        <v>6119</v>
      </c>
      <c r="BV3" s="1">
        <v>5768</v>
      </c>
      <c r="BW3" s="1">
        <v>5369</v>
      </c>
      <c r="BX3" s="1">
        <v>5014</v>
      </c>
      <c r="BY3" s="1">
        <v>4557</v>
      </c>
      <c r="BZ3" s="1">
        <v>4204</v>
      </c>
      <c r="CA3" s="1">
        <v>3906</v>
      </c>
      <c r="CB3" s="1">
        <v>3667</v>
      </c>
      <c r="CC3" s="1">
        <v>3423</v>
      </c>
      <c r="CD3" s="1">
        <v>3039</v>
      </c>
      <c r="CE3" s="1">
        <v>2787</v>
      </c>
      <c r="CF3" s="1">
        <v>2565</v>
      </c>
      <c r="CG3" s="1">
        <v>2314</v>
      </c>
      <c r="CH3" s="1">
        <v>2072</v>
      </c>
      <c r="CI3" s="1">
        <v>1745</v>
      </c>
      <c r="CJ3" s="1">
        <v>1515</v>
      </c>
      <c r="CK3" s="1">
        <v>1292</v>
      </c>
      <c r="CL3" s="1">
        <v>1129</v>
      </c>
      <c r="CM3" s="1">
        <v>983</v>
      </c>
      <c r="CN3" s="1">
        <v>804</v>
      </c>
      <c r="CO3" s="1">
        <v>680</v>
      </c>
      <c r="CP3" s="1">
        <v>608</v>
      </c>
      <c r="CQ3" s="1">
        <v>553</v>
      </c>
      <c r="CR3" s="1">
        <v>545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>
        <v>30.449647457449299</v>
      </c>
      <c r="DC3">
        <v>0</v>
      </c>
      <c r="DD3">
        <v>48797</v>
      </c>
      <c r="DE3">
        <v>21744</v>
      </c>
      <c r="DF3">
        <v>21665</v>
      </c>
      <c r="DG3">
        <v>21428</v>
      </c>
      <c r="DH3">
        <v>21070</v>
      </c>
      <c r="DI3">
        <v>20658</v>
      </c>
      <c r="DJ3">
        <v>20247</v>
      </c>
      <c r="DK3">
        <v>19998</v>
      </c>
      <c r="DL3">
        <v>19820</v>
      </c>
      <c r="DM3">
        <v>19673</v>
      </c>
      <c r="DN3">
        <v>19523</v>
      </c>
      <c r="DO3">
        <v>19447</v>
      </c>
      <c r="DP3">
        <v>19452</v>
      </c>
      <c r="DQ3">
        <v>19761</v>
      </c>
      <c r="DR3">
        <v>20242</v>
      </c>
      <c r="DS3">
        <v>20822</v>
      </c>
      <c r="DT3">
        <v>21318</v>
      </c>
      <c r="DU3">
        <v>21730</v>
      </c>
      <c r="DV3">
        <v>22103</v>
      </c>
      <c r="DW3">
        <v>22498</v>
      </c>
      <c r="DX3">
        <v>22933</v>
      </c>
      <c r="DY3">
        <v>23370</v>
      </c>
      <c r="DZ3">
        <v>23850</v>
      </c>
      <c r="EA3">
        <v>24586</v>
      </c>
      <c r="EB3">
        <v>25615</v>
      </c>
      <c r="EC3">
        <v>26848</v>
      </c>
      <c r="ED3">
        <v>27864</v>
      </c>
      <c r="EE3">
        <v>28525</v>
      </c>
      <c r="EF3">
        <v>28877</v>
      </c>
      <c r="EG3">
        <v>29039</v>
      </c>
      <c r="EH3">
        <v>29192</v>
      </c>
      <c r="EI3">
        <v>29264</v>
      </c>
      <c r="EJ3">
        <v>29133</v>
      </c>
      <c r="EK3">
        <v>28631</v>
      </c>
      <c r="EL3">
        <v>27843</v>
      </c>
      <c r="EM3">
        <v>26794</v>
      </c>
      <c r="EN3">
        <v>25913</v>
      </c>
      <c r="EO3">
        <v>25184</v>
      </c>
      <c r="EP3">
        <v>24370</v>
      </c>
      <c r="EQ3">
        <v>23364</v>
      </c>
      <c r="ER3">
        <v>22223</v>
      </c>
      <c r="ES3">
        <v>21189</v>
      </c>
      <c r="ET3">
        <v>20227</v>
      </c>
      <c r="EU3">
        <v>19056</v>
      </c>
      <c r="EV3">
        <v>17519</v>
      </c>
      <c r="EW3">
        <v>15702</v>
      </c>
      <c r="EX3">
        <v>14188</v>
      </c>
      <c r="EY3">
        <v>13184</v>
      </c>
      <c r="EZ3">
        <v>12685</v>
      </c>
      <c r="FA3">
        <v>12403</v>
      </c>
      <c r="FB3">
        <v>12117</v>
      </c>
      <c r="FC3">
        <v>11903</v>
      </c>
      <c r="FD3">
        <v>11689</v>
      </c>
      <c r="FE3">
        <v>11433</v>
      </c>
      <c r="FF3">
        <v>11098</v>
      </c>
      <c r="FG3">
        <v>10659</v>
      </c>
      <c r="FH3">
        <v>10308</v>
      </c>
      <c r="FI3">
        <v>10010</v>
      </c>
      <c r="FJ3">
        <v>9735</v>
      </c>
      <c r="FK3">
        <v>9403</v>
      </c>
      <c r="FL3">
        <v>8982</v>
      </c>
      <c r="FM3">
        <v>8624</v>
      </c>
      <c r="FN3">
        <v>8277</v>
      </c>
      <c r="FO3">
        <v>7902</v>
      </c>
      <c r="FP3">
        <v>7442</v>
      </c>
      <c r="FQ3">
        <v>6891</v>
      </c>
      <c r="FR3">
        <v>6398</v>
      </c>
      <c r="FS3">
        <v>6074</v>
      </c>
      <c r="FT3">
        <v>5809</v>
      </c>
      <c r="FU3">
        <v>5554</v>
      </c>
      <c r="FV3">
        <v>5198</v>
      </c>
      <c r="FW3">
        <v>4956</v>
      </c>
      <c r="FX3">
        <v>4737</v>
      </c>
      <c r="FY3">
        <v>4532</v>
      </c>
      <c r="FZ3">
        <v>4297</v>
      </c>
      <c r="GA3">
        <v>3955</v>
      </c>
      <c r="GB3">
        <v>3687</v>
      </c>
      <c r="GC3">
        <v>3474</v>
      </c>
      <c r="GD3">
        <v>3232</v>
      </c>
      <c r="GE3">
        <v>2911</v>
      </c>
      <c r="GF3">
        <v>2489</v>
      </c>
      <c r="GG3">
        <v>2180</v>
      </c>
      <c r="GH3">
        <v>1994</v>
      </c>
      <c r="GI3">
        <v>1821</v>
      </c>
      <c r="GJ3">
        <v>1652</v>
      </c>
      <c r="GK3">
        <v>1393</v>
      </c>
      <c r="GL3">
        <v>1252</v>
      </c>
      <c r="GM3">
        <v>1177</v>
      </c>
      <c r="GN3">
        <v>1111</v>
      </c>
      <c r="GO3">
        <v>1108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31.404212813199901</v>
      </c>
      <c r="GZ3">
        <v>1457</v>
      </c>
      <c r="HA3">
        <v>4704</v>
      </c>
      <c r="HB3">
        <v>3750</v>
      </c>
      <c r="HC3">
        <v>1972</v>
      </c>
      <c r="HD3">
        <v>888</v>
      </c>
      <c r="HE3">
        <v>301</v>
      </c>
      <c r="HF3">
        <v>77</v>
      </c>
      <c r="HG3">
        <v>2671</v>
      </c>
      <c r="HH3">
        <v>7720</v>
      </c>
      <c r="HI3">
        <v>6304</v>
      </c>
      <c r="HJ3">
        <v>3143</v>
      </c>
      <c r="HK3">
        <v>1201</v>
      </c>
      <c r="HL3">
        <v>367</v>
      </c>
      <c r="HM3">
        <v>101</v>
      </c>
      <c r="HN3">
        <v>78170</v>
      </c>
      <c r="HO3">
        <v>197067</v>
      </c>
      <c r="HP3">
        <v>153824</v>
      </c>
      <c r="HQ3">
        <v>98970</v>
      </c>
      <c r="HR3">
        <v>58357</v>
      </c>
      <c r="HS3">
        <v>23912</v>
      </c>
      <c r="HT3">
        <v>7124</v>
      </c>
      <c r="HU3">
        <v>93521</v>
      </c>
      <c r="HV3">
        <v>187749</v>
      </c>
      <c r="HW3">
        <v>155494</v>
      </c>
      <c r="HX3">
        <v>90404</v>
      </c>
      <c r="HY3">
        <v>44872</v>
      </c>
      <c r="HZ3">
        <v>13318</v>
      </c>
      <c r="IA3">
        <v>6393</v>
      </c>
      <c r="IB3">
        <v>183818</v>
      </c>
      <c r="IC3">
        <v>81972</v>
      </c>
      <c r="ID3">
        <v>24679</v>
      </c>
      <c r="IE3">
        <v>7025</v>
      </c>
      <c r="IF3">
        <v>6002</v>
      </c>
      <c r="IG3">
        <v>2538</v>
      </c>
      <c r="IH3">
        <v>1446</v>
      </c>
      <c r="II3">
        <v>157523</v>
      </c>
      <c r="IJ3">
        <v>76794</v>
      </c>
      <c r="IK3">
        <v>9717</v>
      </c>
      <c r="IL3">
        <v>1</v>
      </c>
      <c r="IM3">
        <v>0</v>
      </c>
      <c r="IN3">
        <v>1</v>
      </c>
      <c r="IO3">
        <v>0</v>
      </c>
      <c r="IP3">
        <v>670</v>
      </c>
      <c r="IQ3">
        <v>1651</v>
      </c>
      <c r="IR3">
        <v>1952</v>
      </c>
      <c r="IS3">
        <v>3783</v>
      </c>
      <c r="IT3">
        <v>7729</v>
      </c>
      <c r="IU3">
        <v>8725</v>
      </c>
      <c r="IV3">
        <v>3279</v>
      </c>
      <c r="IW3">
        <v>1251</v>
      </c>
      <c r="IX3">
        <v>3100</v>
      </c>
      <c r="IY3">
        <v>7822</v>
      </c>
      <c r="IZ3">
        <v>17807</v>
      </c>
      <c r="JA3">
        <v>29729</v>
      </c>
      <c r="JB3">
        <v>29936</v>
      </c>
      <c r="JC3">
        <v>12594</v>
      </c>
    </row>
    <row r="4" spans="1:263" x14ac:dyDescent="0.3">
      <c r="A4" s="1">
        <v>1992</v>
      </c>
      <c r="B4" s="1">
        <v>2849225</v>
      </c>
      <c r="C4" s="1">
        <v>375760</v>
      </c>
      <c r="D4" s="1">
        <v>1438645</v>
      </c>
      <c r="E4" s="1">
        <v>1410580</v>
      </c>
      <c r="F4" s="1">
        <v>0</v>
      </c>
      <c r="G4" s="1">
        <v>25143</v>
      </c>
      <c r="H4" s="1">
        <v>48488</v>
      </c>
      <c r="I4" s="1">
        <v>23521</v>
      </c>
      <c r="J4" s="1">
        <v>23395</v>
      </c>
      <c r="K4" s="1">
        <v>23135</v>
      </c>
      <c r="L4" s="1">
        <v>22794</v>
      </c>
      <c r="M4" s="1">
        <v>22387</v>
      </c>
      <c r="N4" s="1">
        <v>22034</v>
      </c>
      <c r="O4" s="1">
        <v>21739</v>
      </c>
      <c r="P4" s="1">
        <v>21560</v>
      </c>
      <c r="Q4" s="1">
        <v>21366</v>
      </c>
      <c r="R4" s="1">
        <v>21188</v>
      </c>
      <c r="S4" s="1">
        <v>21058</v>
      </c>
      <c r="T4" s="1">
        <v>21163</v>
      </c>
      <c r="U4" s="1">
        <v>21381</v>
      </c>
      <c r="V4" s="1">
        <v>21818</v>
      </c>
      <c r="W4" s="1">
        <v>22350</v>
      </c>
      <c r="X4" s="1">
        <v>22850</v>
      </c>
      <c r="Y4" s="1">
        <v>23250</v>
      </c>
      <c r="Z4" s="1">
        <v>23540</v>
      </c>
      <c r="AA4" s="1">
        <v>23850</v>
      </c>
      <c r="AB4" s="1">
        <v>24124</v>
      </c>
      <c r="AC4" s="1">
        <v>24485</v>
      </c>
      <c r="AD4" s="1">
        <v>25015</v>
      </c>
      <c r="AE4" s="1">
        <v>25721</v>
      </c>
      <c r="AF4" s="1">
        <v>26743</v>
      </c>
      <c r="AG4" s="1">
        <v>27866</v>
      </c>
      <c r="AH4" s="1">
        <v>28881</v>
      </c>
      <c r="AI4" s="1">
        <v>29589</v>
      </c>
      <c r="AJ4" s="1">
        <v>29997</v>
      </c>
      <c r="AK4" s="1">
        <v>30303</v>
      </c>
      <c r="AL4" s="1">
        <v>30466</v>
      </c>
      <c r="AM4" s="1">
        <v>30536</v>
      </c>
      <c r="AN4" s="1">
        <v>30365</v>
      </c>
      <c r="AO4" s="1">
        <v>29899</v>
      </c>
      <c r="AP4" s="1">
        <v>28993</v>
      </c>
      <c r="AQ4" s="1">
        <v>27958</v>
      </c>
      <c r="AR4" s="1">
        <v>27053</v>
      </c>
      <c r="AS4" s="1">
        <v>26185</v>
      </c>
      <c r="AT4" s="1">
        <v>25289</v>
      </c>
      <c r="AU4" s="1">
        <v>24241</v>
      </c>
      <c r="AV4" s="1">
        <v>23046</v>
      </c>
      <c r="AW4" s="1">
        <v>21932</v>
      </c>
      <c r="AX4" s="1">
        <v>20751</v>
      </c>
      <c r="AY4" s="1">
        <v>19452</v>
      </c>
      <c r="AZ4" s="1">
        <v>17870</v>
      </c>
      <c r="BA4" s="1">
        <v>16116</v>
      </c>
      <c r="BB4" s="1">
        <v>14608</v>
      </c>
      <c r="BC4" s="1">
        <v>13556</v>
      </c>
      <c r="BD4" s="1">
        <v>12993</v>
      </c>
      <c r="BE4" s="1">
        <v>12595</v>
      </c>
      <c r="BF4" s="1">
        <v>12255</v>
      </c>
      <c r="BG4" s="1">
        <v>12024</v>
      </c>
      <c r="BH4" s="1">
        <v>11767</v>
      </c>
      <c r="BI4" s="1">
        <v>11490</v>
      </c>
      <c r="BJ4" s="1">
        <v>11008</v>
      </c>
      <c r="BK4" s="1">
        <v>10563</v>
      </c>
      <c r="BL4" s="1">
        <v>10176</v>
      </c>
      <c r="BM4" s="1">
        <v>9833</v>
      </c>
      <c r="BN4" s="1">
        <v>9520</v>
      </c>
      <c r="BO4" s="1">
        <v>9070</v>
      </c>
      <c r="BP4" s="1">
        <v>8595</v>
      </c>
      <c r="BQ4" s="1">
        <v>8247</v>
      </c>
      <c r="BR4" s="1">
        <v>7877</v>
      </c>
      <c r="BS4" s="1">
        <v>7472</v>
      </c>
      <c r="BT4" s="1">
        <v>6944</v>
      </c>
      <c r="BU4" s="1">
        <v>6377</v>
      </c>
      <c r="BV4" s="1">
        <v>5957</v>
      </c>
      <c r="BW4" s="1">
        <v>5617</v>
      </c>
      <c r="BX4" s="1">
        <v>5228</v>
      </c>
      <c r="BY4" s="1">
        <v>4788</v>
      </c>
      <c r="BZ4" s="1">
        <v>4325</v>
      </c>
      <c r="CA4" s="1">
        <v>4009</v>
      </c>
      <c r="CB4" s="1">
        <v>3729</v>
      </c>
      <c r="CC4" s="1">
        <v>3519</v>
      </c>
      <c r="CD4" s="1">
        <v>3176</v>
      </c>
      <c r="CE4" s="1">
        <v>2846</v>
      </c>
      <c r="CF4" s="1">
        <v>2578</v>
      </c>
      <c r="CG4" s="1">
        <v>2352</v>
      </c>
      <c r="CH4" s="1">
        <v>2162</v>
      </c>
      <c r="CI4" s="1">
        <v>1864</v>
      </c>
      <c r="CJ4" s="1">
        <v>1557</v>
      </c>
      <c r="CK4" s="1">
        <v>1364</v>
      </c>
      <c r="CL4" s="1">
        <v>1145</v>
      </c>
      <c r="CM4" s="1">
        <v>1010</v>
      </c>
      <c r="CN4" s="1">
        <v>839</v>
      </c>
      <c r="CO4" s="1">
        <v>694</v>
      </c>
      <c r="CP4" s="1">
        <v>582</v>
      </c>
      <c r="CQ4" s="1">
        <v>513</v>
      </c>
      <c r="CR4" s="1">
        <v>484</v>
      </c>
      <c r="CS4" s="1">
        <v>451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>
        <v>30.704028443431099</v>
      </c>
      <c r="DC4">
        <v>0</v>
      </c>
      <c r="DD4">
        <v>27510</v>
      </c>
      <c r="DE4">
        <v>48961</v>
      </c>
      <c r="DF4">
        <v>21912</v>
      </c>
      <c r="DG4">
        <v>21841</v>
      </c>
      <c r="DH4">
        <v>21605</v>
      </c>
      <c r="DI4">
        <v>21249</v>
      </c>
      <c r="DJ4">
        <v>20829</v>
      </c>
      <c r="DK4">
        <v>20436</v>
      </c>
      <c r="DL4">
        <v>20172</v>
      </c>
      <c r="DM4">
        <v>19974</v>
      </c>
      <c r="DN4">
        <v>19816</v>
      </c>
      <c r="DO4">
        <v>19671</v>
      </c>
      <c r="DP4">
        <v>19605</v>
      </c>
      <c r="DQ4">
        <v>19620</v>
      </c>
      <c r="DR4">
        <v>19922</v>
      </c>
      <c r="DS4">
        <v>20404</v>
      </c>
      <c r="DT4">
        <v>20993</v>
      </c>
      <c r="DU4">
        <v>21504</v>
      </c>
      <c r="DV4">
        <v>21896</v>
      </c>
      <c r="DW4">
        <v>22298</v>
      </c>
      <c r="DX4">
        <v>22706</v>
      </c>
      <c r="DY4">
        <v>23133</v>
      </c>
      <c r="DZ4">
        <v>23569</v>
      </c>
      <c r="EA4">
        <v>24036</v>
      </c>
      <c r="EB4">
        <v>24802</v>
      </c>
      <c r="EC4">
        <v>25805</v>
      </c>
      <c r="ED4">
        <v>27053</v>
      </c>
      <c r="EE4">
        <v>28067</v>
      </c>
      <c r="EF4">
        <v>28726</v>
      </c>
      <c r="EG4">
        <v>29097</v>
      </c>
      <c r="EH4">
        <v>29287</v>
      </c>
      <c r="EI4">
        <v>29446</v>
      </c>
      <c r="EJ4">
        <v>29493</v>
      </c>
      <c r="EK4">
        <v>29363</v>
      </c>
      <c r="EL4">
        <v>28874</v>
      </c>
      <c r="EM4">
        <v>27984</v>
      </c>
      <c r="EN4">
        <v>26907</v>
      </c>
      <c r="EO4">
        <v>26022</v>
      </c>
      <c r="EP4">
        <v>25298</v>
      </c>
      <c r="EQ4">
        <v>24503</v>
      </c>
      <c r="ER4">
        <v>23478</v>
      </c>
      <c r="ES4">
        <v>22310</v>
      </c>
      <c r="ET4">
        <v>21290</v>
      </c>
      <c r="EU4">
        <v>20308</v>
      </c>
      <c r="EV4">
        <v>19154</v>
      </c>
      <c r="EW4">
        <v>17617</v>
      </c>
      <c r="EX4">
        <v>15748</v>
      </c>
      <c r="EY4">
        <v>14248</v>
      </c>
      <c r="EZ4">
        <v>13222</v>
      </c>
      <c r="FA4">
        <v>12747</v>
      </c>
      <c r="FB4">
        <v>12446</v>
      </c>
      <c r="FC4">
        <v>12169</v>
      </c>
      <c r="FD4">
        <v>11940</v>
      </c>
      <c r="FE4">
        <v>11733</v>
      </c>
      <c r="FF4">
        <v>11464</v>
      </c>
      <c r="FG4">
        <v>11078</v>
      </c>
      <c r="FH4">
        <v>10686</v>
      </c>
      <c r="FI4">
        <v>10293</v>
      </c>
      <c r="FJ4">
        <v>10024</v>
      </c>
      <c r="FK4">
        <v>9744</v>
      </c>
      <c r="FL4">
        <v>9356</v>
      </c>
      <c r="FM4">
        <v>8933</v>
      </c>
      <c r="FN4">
        <v>8564</v>
      </c>
      <c r="FO4">
        <v>8245</v>
      </c>
      <c r="FP4">
        <v>7871</v>
      </c>
      <c r="FQ4">
        <v>7340</v>
      </c>
      <c r="FR4">
        <v>6800</v>
      </c>
      <c r="FS4">
        <v>6312</v>
      </c>
      <c r="FT4">
        <v>6011</v>
      </c>
      <c r="FU4">
        <v>5721</v>
      </c>
      <c r="FV4">
        <v>5421</v>
      </c>
      <c r="FW4">
        <v>5047</v>
      </c>
      <c r="FX4">
        <v>4808</v>
      </c>
      <c r="FY4">
        <v>4616</v>
      </c>
      <c r="FZ4">
        <v>4408</v>
      </c>
      <c r="GA4">
        <v>4118</v>
      </c>
      <c r="GB4">
        <v>3774</v>
      </c>
      <c r="GC4">
        <v>3517</v>
      </c>
      <c r="GD4">
        <v>3301</v>
      </c>
      <c r="GE4">
        <v>3109</v>
      </c>
      <c r="GF4">
        <v>2700</v>
      </c>
      <c r="GG4">
        <v>2311</v>
      </c>
      <c r="GH4">
        <v>2010</v>
      </c>
      <c r="GI4">
        <v>1839</v>
      </c>
      <c r="GJ4">
        <v>1670</v>
      </c>
      <c r="GK4">
        <v>1416</v>
      </c>
      <c r="GL4">
        <v>1220</v>
      </c>
      <c r="GM4">
        <v>1103</v>
      </c>
      <c r="GN4">
        <v>989</v>
      </c>
      <c r="GO4">
        <v>989</v>
      </c>
      <c r="GP4">
        <v>973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31.614126813083899</v>
      </c>
      <c r="GZ4">
        <v>2052</v>
      </c>
      <c r="HA4">
        <v>5602</v>
      </c>
      <c r="HB4">
        <v>4633</v>
      </c>
      <c r="HC4">
        <v>2318</v>
      </c>
      <c r="HD4">
        <v>1069</v>
      </c>
      <c r="HE4">
        <v>383</v>
      </c>
      <c r="HF4">
        <v>90</v>
      </c>
      <c r="HG4">
        <v>3160</v>
      </c>
      <c r="HH4">
        <v>8944</v>
      </c>
      <c r="HI4">
        <v>7473</v>
      </c>
      <c r="HJ4">
        <v>3639</v>
      </c>
      <c r="HK4">
        <v>1435</v>
      </c>
      <c r="HL4">
        <v>450</v>
      </c>
      <c r="HM4">
        <v>111</v>
      </c>
      <c r="HN4">
        <v>80638</v>
      </c>
      <c r="HO4">
        <v>196635</v>
      </c>
      <c r="HP4">
        <v>163239</v>
      </c>
      <c r="HQ4">
        <v>102147</v>
      </c>
      <c r="HR4">
        <v>59816</v>
      </c>
      <c r="HS4">
        <v>24525</v>
      </c>
      <c r="HT4">
        <v>7406</v>
      </c>
      <c r="HU4">
        <v>82951</v>
      </c>
      <c r="HV4">
        <v>175170</v>
      </c>
      <c r="HW4">
        <v>163440</v>
      </c>
      <c r="HX4">
        <v>93544</v>
      </c>
      <c r="HY4">
        <v>48455</v>
      </c>
      <c r="HZ4">
        <v>13993</v>
      </c>
      <c r="IA4">
        <v>6295</v>
      </c>
      <c r="IB4">
        <v>176588</v>
      </c>
      <c r="IC4">
        <v>87965</v>
      </c>
      <c r="ID4">
        <v>26900</v>
      </c>
      <c r="IE4">
        <v>6261</v>
      </c>
      <c r="IF4">
        <v>6634</v>
      </c>
      <c r="IG4">
        <v>1955</v>
      </c>
      <c r="IH4">
        <v>1756</v>
      </c>
      <c r="II4">
        <v>162649</v>
      </c>
      <c r="IJ4">
        <v>94661</v>
      </c>
      <c r="IK4">
        <v>12481</v>
      </c>
      <c r="IL4">
        <v>127</v>
      </c>
      <c r="IM4">
        <v>102</v>
      </c>
      <c r="IN4">
        <v>64</v>
      </c>
      <c r="IO4">
        <v>5</v>
      </c>
      <c r="IP4">
        <v>536</v>
      </c>
      <c r="IQ4">
        <v>1553</v>
      </c>
      <c r="IR4">
        <v>2089</v>
      </c>
      <c r="IS4">
        <v>3978</v>
      </c>
      <c r="IT4">
        <v>8157</v>
      </c>
      <c r="IU4">
        <v>9687</v>
      </c>
      <c r="IV4">
        <v>3413</v>
      </c>
      <c r="IW4">
        <v>1435</v>
      </c>
      <c r="IX4">
        <v>2996</v>
      </c>
      <c r="IY4">
        <v>8484</v>
      </c>
      <c r="IZ4">
        <v>17270</v>
      </c>
      <c r="JA4">
        <v>29184</v>
      </c>
      <c r="JB4">
        <v>30224</v>
      </c>
      <c r="JC4">
        <v>13918</v>
      </c>
    </row>
    <row r="5" spans="1:263" x14ac:dyDescent="0.3">
      <c r="A5" s="1">
        <v>1993</v>
      </c>
      <c r="B5" s="1">
        <v>2910879</v>
      </c>
      <c r="C5" s="1">
        <v>439052</v>
      </c>
      <c r="D5" s="1">
        <v>1467789</v>
      </c>
      <c r="E5" s="1">
        <v>1443090</v>
      </c>
      <c r="F5" s="1">
        <v>0</v>
      </c>
      <c r="G5" s="1">
        <v>25221</v>
      </c>
      <c r="H5" s="1">
        <v>25360</v>
      </c>
      <c r="I5" s="1">
        <v>48708</v>
      </c>
      <c r="J5" s="1">
        <v>23780</v>
      </c>
      <c r="K5" s="1">
        <v>23629</v>
      </c>
      <c r="L5" s="1">
        <v>23361</v>
      </c>
      <c r="M5" s="1">
        <v>23047</v>
      </c>
      <c r="N5" s="1">
        <v>22614</v>
      </c>
      <c r="O5" s="1">
        <v>22263</v>
      </c>
      <c r="P5" s="1">
        <v>21994</v>
      </c>
      <c r="Q5" s="1">
        <v>21794</v>
      </c>
      <c r="R5" s="1">
        <v>21578</v>
      </c>
      <c r="S5" s="1">
        <v>21397</v>
      </c>
      <c r="T5" s="1">
        <v>21292</v>
      </c>
      <c r="U5" s="1">
        <v>21376</v>
      </c>
      <c r="V5" s="1">
        <v>21614</v>
      </c>
      <c r="W5" s="1">
        <v>22050</v>
      </c>
      <c r="X5" s="1">
        <v>22596</v>
      </c>
      <c r="Y5" s="1">
        <v>23087</v>
      </c>
      <c r="Z5" s="1">
        <v>23470</v>
      </c>
      <c r="AA5" s="1">
        <v>23751</v>
      </c>
      <c r="AB5" s="1">
        <v>24115</v>
      </c>
      <c r="AC5" s="1">
        <v>24353</v>
      </c>
      <c r="AD5" s="1">
        <v>24766</v>
      </c>
      <c r="AE5" s="1">
        <v>25283</v>
      </c>
      <c r="AF5" s="1">
        <v>25962</v>
      </c>
      <c r="AG5" s="1">
        <v>27035</v>
      </c>
      <c r="AH5" s="1">
        <v>28134</v>
      </c>
      <c r="AI5" s="1">
        <v>29169</v>
      </c>
      <c r="AJ5" s="1">
        <v>29868</v>
      </c>
      <c r="AK5" s="1">
        <v>30317</v>
      </c>
      <c r="AL5" s="1">
        <v>30596</v>
      </c>
      <c r="AM5" s="1">
        <v>30789</v>
      </c>
      <c r="AN5" s="1">
        <v>30849</v>
      </c>
      <c r="AO5" s="1">
        <v>30696</v>
      </c>
      <c r="AP5" s="1">
        <v>30038</v>
      </c>
      <c r="AQ5" s="1">
        <v>29077</v>
      </c>
      <c r="AR5" s="1">
        <v>28033</v>
      </c>
      <c r="AS5" s="1">
        <v>27124</v>
      </c>
      <c r="AT5" s="1">
        <v>26258</v>
      </c>
      <c r="AU5" s="1">
        <v>25358</v>
      </c>
      <c r="AV5" s="1">
        <v>24296</v>
      </c>
      <c r="AW5" s="1">
        <v>23088</v>
      </c>
      <c r="AX5" s="1">
        <v>22009</v>
      </c>
      <c r="AY5" s="1">
        <v>20781</v>
      </c>
      <c r="AZ5" s="1">
        <v>19472</v>
      </c>
      <c r="BA5" s="1">
        <v>17885</v>
      </c>
      <c r="BB5" s="1">
        <v>16109</v>
      </c>
      <c r="BC5" s="1">
        <v>14609</v>
      </c>
      <c r="BD5" s="1">
        <v>13556</v>
      </c>
      <c r="BE5" s="1">
        <v>12950</v>
      </c>
      <c r="BF5" s="1">
        <v>12570</v>
      </c>
      <c r="BG5" s="1">
        <v>12232</v>
      </c>
      <c r="BH5" s="1">
        <v>12001</v>
      </c>
      <c r="BI5" s="1">
        <v>11735</v>
      </c>
      <c r="BJ5" s="1">
        <v>11408</v>
      </c>
      <c r="BK5" s="1">
        <v>10930</v>
      </c>
      <c r="BL5" s="1">
        <v>10460</v>
      </c>
      <c r="BM5" s="1">
        <v>10113</v>
      </c>
      <c r="BN5" s="1">
        <v>9759</v>
      </c>
      <c r="BO5" s="1">
        <v>9397</v>
      </c>
      <c r="BP5" s="1">
        <v>8934</v>
      </c>
      <c r="BQ5" s="1">
        <v>8442</v>
      </c>
      <c r="BR5" s="1">
        <v>8129</v>
      </c>
      <c r="BS5" s="1">
        <v>7735</v>
      </c>
      <c r="BT5" s="1">
        <v>7284</v>
      </c>
      <c r="BU5" s="1">
        <v>6753</v>
      </c>
      <c r="BV5" s="1">
        <v>6190</v>
      </c>
      <c r="BW5" s="1">
        <v>5793</v>
      </c>
      <c r="BX5" s="1">
        <v>5469</v>
      </c>
      <c r="BY5" s="1">
        <v>5006</v>
      </c>
      <c r="BZ5" s="1">
        <v>4595</v>
      </c>
      <c r="CA5" s="1">
        <v>4143</v>
      </c>
      <c r="CB5" s="1">
        <v>3862</v>
      </c>
      <c r="CC5" s="1">
        <v>3596</v>
      </c>
      <c r="CD5" s="1">
        <v>3290</v>
      </c>
      <c r="CE5" s="1">
        <v>2954</v>
      </c>
      <c r="CF5" s="1">
        <v>2652</v>
      </c>
      <c r="CG5" s="1">
        <v>2399</v>
      </c>
      <c r="CH5" s="1">
        <v>2214</v>
      </c>
      <c r="CI5" s="1">
        <v>1959</v>
      </c>
      <c r="CJ5" s="1">
        <v>1666</v>
      </c>
      <c r="CK5" s="1">
        <v>1395</v>
      </c>
      <c r="CL5" s="1">
        <v>1221</v>
      </c>
      <c r="CM5" s="1">
        <v>1020</v>
      </c>
      <c r="CN5" s="1">
        <v>865</v>
      </c>
      <c r="CO5" s="1">
        <v>724</v>
      </c>
      <c r="CP5" s="1">
        <v>600</v>
      </c>
      <c r="CQ5" s="1">
        <v>492</v>
      </c>
      <c r="CR5" s="1">
        <v>442</v>
      </c>
      <c r="CS5" s="1">
        <v>415</v>
      </c>
      <c r="CT5" s="1">
        <v>388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>
        <v>30.955402990484298</v>
      </c>
      <c r="DC5">
        <v>0</v>
      </c>
      <c r="DD5">
        <v>27278</v>
      </c>
      <c r="DE5">
        <v>27653</v>
      </c>
      <c r="DF5">
        <v>49165</v>
      </c>
      <c r="DG5">
        <v>22127</v>
      </c>
      <c r="DH5">
        <v>22048</v>
      </c>
      <c r="DI5">
        <v>21819</v>
      </c>
      <c r="DJ5">
        <v>21446</v>
      </c>
      <c r="DK5">
        <v>21023</v>
      </c>
      <c r="DL5">
        <v>20627</v>
      </c>
      <c r="DM5">
        <v>20358</v>
      </c>
      <c r="DN5">
        <v>20154</v>
      </c>
      <c r="DO5">
        <v>20006</v>
      </c>
      <c r="DP5">
        <v>19851</v>
      </c>
      <c r="DQ5">
        <v>19805</v>
      </c>
      <c r="DR5">
        <v>19799</v>
      </c>
      <c r="DS5">
        <v>20083</v>
      </c>
      <c r="DT5">
        <v>20589</v>
      </c>
      <c r="DU5">
        <v>21180</v>
      </c>
      <c r="DV5">
        <v>21694</v>
      </c>
      <c r="DW5">
        <v>22111</v>
      </c>
      <c r="DX5">
        <v>22508</v>
      </c>
      <c r="DY5">
        <v>22892</v>
      </c>
      <c r="DZ5">
        <v>23327</v>
      </c>
      <c r="EA5">
        <v>23776</v>
      </c>
      <c r="EB5">
        <v>24245</v>
      </c>
      <c r="EC5">
        <v>25041</v>
      </c>
      <c r="ED5">
        <v>26034</v>
      </c>
      <c r="EE5">
        <v>27295</v>
      </c>
      <c r="EF5">
        <v>28337</v>
      </c>
      <c r="EG5">
        <v>28980</v>
      </c>
      <c r="EH5">
        <v>29364</v>
      </c>
      <c r="EI5">
        <v>29550</v>
      </c>
      <c r="EJ5">
        <v>29722</v>
      </c>
      <c r="EK5">
        <v>29747</v>
      </c>
      <c r="EL5">
        <v>29607</v>
      </c>
      <c r="EM5">
        <v>29016</v>
      </c>
      <c r="EN5">
        <v>28134</v>
      </c>
      <c r="EO5">
        <v>27041</v>
      </c>
      <c r="EP5">
        <v>26127</v>
      </c>
      <c r="EQ5">
        <v>25434</v>
      </c>
      <c r="ER5">
        <v>24609</v>
      </c>
      <c r="ES5">
        <v>23599</v>
      </c>
      <c r="ET5">
        <v>22405</v>
      </c>
      <c r="EU5">
        <v>21386</v>
      </c>
      <c r="EV5">
        <v>20392</v>
      </c>
      <c r="EW5">
        <v>19233</v>
      </c>
      <c r="EX5">
        <v>17687</v>
      </c>
      <c r="EY5">
        <v>15837</v>
      </c>
      <c r="EZ5">
        <v>14315</v>
      </c>
      <c r="FA5">
        <v>13274</v>
      </c>
      <c r="FB5">
        <v>12793</v>
      </c>
      <c r="FC5">
        <v>12495</v>
      </c>
      <c r="FD5">
        <v>12213</v>
      </c>
      <c r="FE5">
        <v>11993</v>
      </c>
      <c r="FF5">
        <v>11781</v>
      </c>
      <c r="FG5">
        <v>11477</v>
      </c>
      <c r="FH5">
        <v>11072</v>
      </c>
      <c r="FI5">
        <v>10694</v>
      </c>
      <c r="FJ5">
        <v>10332</v>
      </c>
      <c r="FK5">
        <v>10042</v>
      </c>
      <c r="FL5">
        <v>9697</v>
      </c>
      <c r="FM5">
        <v>9347</v>
      </c>
      <c r="FN5">
        <v>8912</v>
      </c>
      <c r="FO5">
        <v>8553</v>
      </c>
      <c r="FP5">
        <v>8198</v>
      </c>
      <c r="FQ5">
        <v>7781</v>
      </c>
      <c r="FR5">
        <v>7249</v>
      </c>
      <c r="FS5">
        <v>6717</v>
      </c>
      <c r="FT5">
        <v>6242</v>
      </c>
      <c r="FU5">
        <v>5941</v>
      </c>
      <c r="FV5">
        <v>5598</v>
      </c>
      <c r="FW5">
        <v>5319</v>
      </c>
      <c r="FX5">
        <v>4920</v>
      </c>
      <c r="FY5">
        <v>4701</v>
      </c>
      <c r="FZ5">
        <v>4508</v>
      </c>
      <c r="GA5">
        <v>4231</v>
      </c>
      <c r="GB5">
        <v>3943</v>
      </c>
      <c r="GC5">
        <v>3626</v>
      </c>
      <c r="GD5">
        <v>3353</v>
      </c>
      <c r="GE5">
        <v>3171</v>
      </c>
      <c r="GF5">
        <v>2882</v>
      </c>
      <c r="GG5">
        <v>2532</v>
      </c>
      <c r="GH5">
        <v>2157</v>
      </c>
      <c r="GI5">
        <v>1848</v>
      </c>
      <c r="GJ5">
        <v>1716</v>
      </c>
      <c r="GK5">
        <v>1469</v>
      </c>
      <c r="GL5">
        <v>1234</v>
      </c>
      <c r="GM5">
        <v>1080</v>
      </c>
      <c r="GN5">
        <v>972</v>
      </c>
      <c r="GO5">
        <v>863</v>
      </c>
      <c r="GP5">
        <v>856</v>
      </c>
      <c r="GQ5">
        <v>851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31.843841925203499</v>
      </c>
      <c r="GZ5">
        <v>2624</v>
      </c>
      <c r="HA5">
        <v>6440</v>
      </c>
      <c r="HB5">
        <v>5561</v>
      </c>
      <c r="HC5">
        <v>2671</v>
      </c>
      <c r="HD5">
        <v>1262</v>
      </c>
      <c r="HE5">
        <v>467</v>
      </c>
      <c r="HF5">
        <v>114</v>
      </c>
      <c r="HG5">
        <v>3458</v>
      </c>
      <c r="HH5">
        <v>9993</v>
      </c>
      <c r="HI5">
        <v>8787</v>
      </c>
      <c r="HJ5">
        <v>4185</v>
      </c>
      <c r="HK5">
        <v>1705</v>
      </c>
      <c r="HL5">
        <v>520</v>
      </c>
      <c r="HM5">
        <v>138</v>
      </c>
      <c r="HN5">
        <v>81255</v>
      </c>
      <c r="HO5">
        <v>197128</v>
      </c>
      <c r="HP5">
        <v>172470</v>
      </c>
      <c r="HQ5">
        <v>105564</v>
      </c>
      <c r="HR5">
        <v>61566</v>
      </c>
      <c r="HS5">
        <v>25234</v>
      </c>
      <c r="HT5">
        <v>7712</v>
      </c>
      <c r="HU5">
        <v>74124</v>
      </c>
      <c r="HV5">
        <v>161099</v>
      </c>
      <c r="HW5">
        <v>170589</v>
      </c>
      <c r="HX5">
        <v>96769</v>
      </c>
      <c r="HY5">
        <v>52041</v>
      </c>
      <c r="HZ5">
        <v>14948</v>
      </c>
      <c r="IA5">
        <v>6265</v>
      </c>
      <c r="IB5">
        <v>171716</v>
      </c>
      <c r="IC5">
        <v>92398</v>
      </c>
      <c r="ID5">
        <v>29652</v>
      </c>
      <c r="IE5">
        <v>5625</v>
      </c>
      <c r="IF5">
        <v>7159</v>
      </c>
      <c r="IG5">
        <v>1486</v>
      </c>
      <c r="IH5">
        <v>1959</v>
      </c>
      <c r="II5">
        <v>166364</v>
      </c>
      <c r="IJ5">
        <v>113304</v>
      </c>
      <c r="IK5">
        <v>16421</v>
      </c>
      <c r="IL5">
        <v>410</v>
      </c>
      <c r="IM5">
        <v>302</v>
      </c>
      <c r="IN5">
        <v>164</v>
      </c>
      <c r="IO5">
        <v>18</v>
      </c>
      <c r="IP5">
        <v>443</v>
      </c>
      <c r="IQ5">
        <v>1421</v>
      </c>
      <c r="IR5">
        <v>2182</v>
      </c>
      <c r="IS5">
        <v>4095</v>
      </c>
      <c r="IT5">
        <v>8429</v>
      </c>
      <c r="IU5">
        <v>10779</v>
      </c>
      <c r="IV5">
        <v>3616</v>
      </c>
      <c r="IW5">
        <v>1620</v>
      </c>
      <c r="IX5">
        <v>2892</v>
      </c>
      <c r="IY5">
        <v>9100</v>
      </c>
      <c r="IZ5">
        <v>16760</v>
      </c>
      <c r="JA5">
        <v>28690</v>
      </c>
      <c r="JB5">
        <v>30508</v>
      </c>
      <c r="JC5">
        <v>15211</v>
      </c>
    </row>
    <row r="6" spans="1:263" x14ac:dyDescent="0.3">
      <c r="A6" s="1">
        <v>1994</v>
      </c>
      <c r="B6" s="1">
        <v>2973316</v>
      </c>
      <c r="C6" s="1">
        <v>497903</v>
      </c>
      <c r="D6" s="1">
        <v>1497402</v>
      </c>
      <c r="E6" s="1">
        <v>1475914</v>
      </c>
      <c r="F6" s="1">
        <v>0</v>
      </c>
      <c r="G6" s="1">
        <v>24919</v>
      </c>
      <c r="H6" s="1">
        <v>25271</v>
      </c>
      <c r="I6" s="1">
        <v>25668</v>
      </c>
      <c r="J6" s="1">
        <v>48983</v>
      </c>
      <c r="K6" s="1">
        <v>24055</v>
      </c>
      <c r="L6" s="1">
        <v>23926</v>
      </c>
      <c r="M6" s="1">
        <v>23629</v>
      </c>
      <c r="N6" s="1">
        <v>23311</v>
      </c>
      <c r="O6" s="1">
        <v>22855</v>
      </c>
      <c r="P6" s="1">
        <v>22528</v>
      </c>
      <c r="Q6" s="1">
        <v>22251</v>
      </c>
      <c r="R6" s="1">
        <v>22064</v>
      </c>
      <c r="S6" s="1">
        <v>21845</v>
      </c>
      <c r="T6" s="1">
        <v>21626</v>
      </c>
      <c r="U6" s="1">
        <v>21545</v>
      </c>
      <c r="V6" s="1">
        <v>21636</v>
      </c>
      <c r="W6" s="1">
        <v>21859</v>
      </c>
      <c r="X6" s="1">
        <v>22278</v>
      </c>
      <c r="Y6" s="1">
        <v>22888</v>
      </c>
      <c r="Z6" s="1">
        <v>23370</v>
      </c>
      <c r="AA6" s="1">
        <v>23718</v>
      </c>
      <c r="AB6" s="1">
        <v>24011</v>
      </c>
      <c r="AC6" s="1">
        <v>24367</v>
      </c>
      <c r="AD6" s="1">
        <v>24641</v>
      </c>
      <c r="AE6" s="1">
        <v>25081</v>
      </c>
      <c r="AF6" s="1">
        <v>25557</v>
      </c>
      <c r="AG6" s="1">
        <v>26265</v>
      </c>
      <c r="AH6" s="1">
        <v>27369</v>
      </c>
      <c r="AI6" s="1">
        <v>28465</v>
      </c>
      <c r="AJ6" s="1">
        <v>29467</v>
      </c>
      <c r="AK6" s="1">
        <v>30226</v>
      </c>
      <c r="AL6" s="1">
        <v>30663</v>
      </c>
      <c r="AM6" s="1">
        <v>30918</v>
      </c>
      <c r="AN6" s="1">
        <v>31139</v>
      </c>
      <c r="AO6" s="1">
        <v>31219</v>
      </c>
      <c r="AP6" s="1">
        <v>30886</v>
      </c>
      <c r="AQ6" s="1">
        <v>30152</v>
      </c>
      <c r="AR6" s="1">
        <v>29144</v>
      </c>
      <c r="AS6" s="1">
        <v>28094</v>
      </c>
      <c r="AT6" s="1">
        <v>27174</v>
      </c>
      <c r="AU6" s="1">
        <v>26321</v>
      </c>
      <c r="AV6" s="1">
        <v>25408</v>
      </c>
      <c r="AW6" s="1">
        <v>24361</v>
      </c>
      <c r="AX6" s="1">
        <v>23130</v>
      </c>
      <c r="AY6" s="1">
        <v>22039</v>
      </c>
      <c r="AZ6" s="1">
        <v>20796</v>
      </c>
      <c r="BA6" s="1">
        <v>19467</v>
      </c>
      <c r="BB6" s="1">
        <v>17881</v>
      </c>
      <c r="BC6" s="1">
        <v>16094</v>
      </c>
      <c r="BD6" s="1">
        <v>14608</v>
      </c>
      <c r="BE6" s="1">
        <v>13504</v>
      </c>
      <c r="BF6" s="1">
        <v>12921</v>
      </c>
      <c r="BG6" s="1">
        <v>12520</v>
      </c>
      <c r="BH6" s="1">
        <v>12198</v>
      </c>
      <c r="BI6" s="1">
        <v>11986</v>
      </c>
      <c r="BJ6" s="1">
        <v>11677</v>
      </c>
      <c r="BK6" s="1">
        <v>11328</v>
      </c>
      <c r="BL6" s="1">
        <v>10868</v>
      </c>
      <c r="BM6" s="1">
        <v>10390</v>
      </c>
      <c r="BN6" s="1">
        <v>10020</v>
      </c>
      <c r="BO6" s="1">
        <v>9635</v>
      </c>
      <c r="BP6" s="1">
        <v>9274</v>
      </c>
      <c r="BQ6" s="1">
        <v>8791</v>
      </c>
      <c r="BR6" s="1">
        <v>8313</v>
      </c>
      <c r="BS6" s="1">
        <v>8012</v>
      </c>
      <c r="BT6" s="1">
        <v>7572</v>
      </c>
      <c r="BU6" s="1">
        <v>7105</v>
      </c>
      <c r="BV6" s="1">
        <v>6546</v>
      </c>
      <c r="BW6" s="1">
        <v>6046</v>
      </c>
      <c r="BX6" s="1">
        <v>5645</v>
      </c>
      <c r="BY6" s="1">
        <v>5251</v>
      </c>
      <c r="BZ6" s="1">
        <v>4785</v>
      </c>
      <c r="CA6" s="1">
        <v>4393</v>
      </c>
      <c r="CB6" s="1">
        <v>3987</v>
      </c>
      <c r="CC6" s="1">
        <v>3709</v>
      </c>
      <c r="CD6" s="1">
        <v>3340</v>
      </c>
      <c r="CE6" s="1">
        <v>3057</v>
      </c>
      <c r="CF6" s="1">
        <v>2728</v>
      </c>
      <c r="CG6" s="1">
        <v>2469</v>
      </c>
      <c r="CH6" s="1">
        <v>2237</v>
      </c>
      <c r="CI6" s="1">
        <v>2008</v>
      </c>
      <c r="CJ6" s="1">
        <v>1773</v>
      </c>
      <c r="CK6" s="1">
        <v>1525</v>
      </c>
      <c r="CL6" s="1">
        <v>1255</v>
      </c>
      <c r="CM6" s="1">
        <v>1092</v>
      </c>
      <c r="CN6" s="1">
        <v>884</v>
      </c>
      <c r="CO6" s="1">
        <v>760</v>
      </c>
      <c r="CP6" s="1">
        <v>631</v>
      </c>
      <c r="CQ6" s="1">
        <v>517</v>
      </c>
      <c r="CR6" s="1">
        <v>413</v>
      </c>
      <c r="CS6" s="1">
        <v>389</v>
      </c>
      <c r="CT6" s="1">
        <v>349</v>
      </c>
      <c r="CU6" s="1">
        <v>331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>
        <v>31.212742469957899</v>
      </c>
      <c r="DC6">
        <v>0</v>
      </c>
      <c r="DD6">
        <v>27193</v>
      </c>
      <c r="DE6">
        <v>27335</v>
      </c>
      <c r="DF6">
        <v>27867</v>
      </c>
      <c r="DG6">
        <v>49361</v>
      </c>
      <c r="DH6">
        <v>22342</v>
      </c>
      <c r="DI6">
        <v>22254</v>
      </c>
      <c r="DJ6">
        <v>22045</v>
      </c>
      <c r="DK6">
        <v>21656</v>
      </c>
      <c r="DL6">
        <v>21223</v>
      </c>
      <c r="DM6">
        <v>20842</v>
      </c>
      <c r="DN6">
        <v>20555</v>
      </c>
      <c r="DO6">
        <v>20350</v>
      </c>
      <c r="DP6">
        <v>20191</v>
      </c>
      <c r="DQ6">
        <v>20047</v>
      </c>
      <c r="DR6">
        <v>19978</v>
      </c>
      <c r="DS6">
        <v>19989</v>
      </c>
      <c r="DT6">
        <v>20272</v>
      </c>
      <c r="DU6">
        <v>20794</v>
      </c>
      <c r="DV6">
        <v>21367</v>
      </c>
      <c r="DW6">
        <v>21900</v>
      </c>
      <c r="DX6">
        <v>22328</v>
      </c>
      <c r="DY6">
        <v>22714</v>
      </c>
      <c r="DZ6">
        <v>23111</v>
      </c>
      <c r="EA6">
        <v>23540</v>
      </c>
      <c r="EB6">
        <v>24002</v>
      </c>
      <c r="EC6">
        <v>24489</v>
      </c>
      <c r="ED6">
        <v>25297</v>
      </c>
      <c r="EE6">
        <v>26286</v>
      </c>
      <c r="EF6">
        <v>27574</v>
      </c>
      <c r="EG6">
        <v>28592</v>
      </c>
      <c r="EH6">
        <v>29242</v>
      </c>
      <c r="EI6">
        <v>29680</v>
      </c>
      <c r="EJ6">
        <v>29818</v>
      </c>
      <c r="EK6">
        <v>29996</v>
      </c>
      <c r="EL6">
        <v>30056</v>
      </c>
      <c r="EM6">
        <v>29761</v>
      </c>
      <c r="EN6">
        <v>29175</v>
      </c>
      <c r="EO6">
        <v>28278</v>
      </c>
      <c r="EP6">
        <v>27186</v>
      </c>
      <c r="EQ6">
        <v>26260</v>
      </c>
      <c r="ER6">
        <v>25572</v>
      </c>
      <c r="ES6">
        <v>24761</v>
      </c>
      <c r="ET6">
        <v>23727</v>
      </c>
      <c r="EU6">
        <v>22508</v>
      </c>
      <c r="EV6">
        <v>21514</v>
      </c>
      <c r="EW6">
        <v>20470</v>
      </c>
      <c r="EX6">
        <v>19317</v>
      </c>
      <c r="EY6">
        <v>17779</v>
      </c>
      <c r="EZ6">
        <v>15914</v>
      </c>
      <c r="FA6">
        <v>14394</v>
      </c>
      <c r="FB6">
        <v>13307</v>
      </c>
      <c r="FC6">
        <v>12828</v>
      </c>
      <c r="FD6">
        <v>12565</v>
      </c>
      <c r="FE6">
        <v>12235</v>
      </c>
      <c r="FF6">
        <v>12042</v>
      </c>
      <c r="FG6">
        <v>11811</v>
      </c>
      <c r="FH6">
        <v>11493</v>
      </c>
      <c r="FI6">
        <v>11071</v>
      </c>
      <c r="FJ6">
        <v>10707</v>
      </c>
      <c r="FK6">
        <v>10345</v>
      </c>
      <c r="FL6">
        <v>10039</v>
      </c>
      <c r="FM6">
        <v>9675</v>
      </c>
      <c r="FN6">
        <v>9300</v>
      </c>
      <c r="FO6">
        <v>8886</v>
      </c>
      <c r="FP6">
        <v>8518</v>
      </c>
      <c r="FQ6">
        <v>8119</v>
      </c>
      <c r="FR6">
        <v>7695</v>
      </c>
      <c r="FS6">
        <v>7174</v>
      </c>
      <c r="FT6">
        <v>6636</v>
      </c>
      <c r="FU6">
        <v>6171</v>
      </c>
      <c r="FV6">
        <v>5810</v>
      </c>
      <c r="FW6">
        <v>5454</v>
      </c>
      <c r="FX6">
        <v>5210</v>
      </c>
      <c r="FY6">
        <v>4819</v>
      </c>
      <c r="FZ6">
        <v>4612</v>
      </c>
      <c r="GA6">
        <v>4311</v>
      </c>
      <c r="GB6">
        <v>4063</v>
      </c>
      <c r="GC6">
        <v>3749</v>
      </c>
      <c r="GD6">
        <v>3467</v>
      </c>
      <c r="GE6">
        <v>3187</v>
      </c>
      <c r="GF6">
        <v>2958</v>
      </c>
      <c r="GG6">
        <v>2719</v>
      </c>
      <c r="GH6">
        <v>2359</v>
      </c>
      <c r="GI6">
        <v>2003</v>
      </c>
      <c r="GJ6">
        <v>1708</v>
      </c>
      <c r="GK6">
        <v>1530</v>
      </c>
      <c r="GL6">
        <v>1295</v>
      </c>
      <c r="GM6">
        <v>1086</v>
      </c>
      <c r="GN6">
        <v>950</v>
      </c>
      <c r="GO6">
        <v>835</v>
      </c>
      <c r="GP6">
        <v>745</v>
      </c>
      <c r="GQ6">
        <v>768</v>
      </c>
      <c r="GR6">
        <v>756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32.083298270291003</v>
      </c>
      <c r="GZ6">
        <v>3055</v>
      </c>
      <c r="HA6">
        <v>7142</v>
      </c>
      <c r="HB6">
        <v>6734</v>
      </c>
      <c r="HC6">
        <v>3048</v>
      </c>
      <c r="HD6">
        <v>1471</v>
      </c>
      <c r="HE6">
        <v>563</v>
      </c>
      <c r="HF6">
        <v>128</v>
      </c>
      <c r="HG6">
        <v>3588</v>
      </c>
      <c r="HH6">
        <v>10660</v>
      </c>
      <c r="HI6">
        <v>10371</v>
      </c>
      <c r="HJ6">
        <v>4778</v>
      </c>
      <c r="HK6">
        <v>1992</v>
      </c>
      <c r="HL6">
        <v>612</v>
      </c>
      <c r="HM6">
        <v>162</v>
      </c>
      <c r="HN6">
        <v>80232</v>
      </c>
      <c r="HO6">
        <v>198655</v>
      </c>
      <c r="HP6">
        <v>180799</v>
      </c>
      <c r="HQ6">
        <v>109748</v>
      </c>
      <c r="HR6">
        <v>63595</v>
      </c>
      <c r="HS6">
        <v>25783</v>
      </c>
      <c r="HT6">
        <v>8191</v>
      </c>
      <c r="HU6">
        <v>91661</v>
      </c>
      <c r="HV6">
        <v>146643</v>
      </c>
      <c r="HW6">
        <v>176076</v>
      </c>
      <c r="HX6">
        <v>100536</v>
      </c>
      <c r="HY6">
        <v>55485</v>
      </c>
      <c r="HZ6">
        <v>16048</v>
      </c>
      <c r="IA6">
        <v>6190</v>
      </c>
      <c r="IB6">
        <v>169191</v>
      </c>
      <c r="IC6">
        <v>94830</v>
      </c>
      <c r="ID6">
        <v>32888</v>
      </c>
      <c r="IE6">
        <v>5033</v>
      </c>
      <c r="IF6">
        <v>7613</v>
      </c>
      <c r="IG6">
        <v>1123</v>
      </c>
      <c r="IH6">
        <v>2070</v>
      </c>
      <c r="II6">
        <v>144187</v>
      </c>
      <c r="IJ6">
        <v>131734</v>
      </c>
      <c r="IK6">
        <v>21743</v>
      </c>
      <c r="IL6">
        <v>801</v>
      </c>
      <c r="IM6">
        <v>580</v>
      </c>
      <c r="IN6">
        <v>301</v>
      </c>
      <c r="IO6">
        <v>41</v>
      </c>
      <c r="IP6">
        <v>366</v>
      </c>
      <c r="IQ6">
        <v>1281</v>
      </c>
      <c r="IR6">
        <v>2250</v>
      </c>
      <c r="IS6">
        <v>4171</v>
      </c>
      <c r="IT6">
        <v>8635</v>
      </c>
      <c r="IU6">
        <v>11895</v>
      </c>
      <c r="IV6">
        <v>3775</v>
      </c>
      <c r="IW6">
        <v>1805</v>
      </c>
      <c r="IX6">
        <v>2747</v>
      </c>
      <c r="IY6">
        <v>9632</v>
      </c>
      <c r="IZ6">
        <v>16338</v>
      </c>
      <c r="JA6">
        <v>28330</v>
      </c>
      <c r="JB6">
        <v>30705</v>
      </c>
      <c r="JC6">
        <v>16507</v>
      </c>
    </row>
    <row r="7" spans="1:263" x14ac:dyDescent="0.3">
      <c r="A7" s="1">
        <v>1995</v>
      </c>
      <c r="B7" s="1">
        <v>3036851</v>
      </c>
      <c r="C7" s="1">
        <v>549981</v>
      </c>
      <c r="D7" s="1">
        <v>1527705</v>
      </c>
      <c r="E7" s="1">
        <v>1509146</v>
      </c>
      <c r="F7" s="1">
        <v>0</v>
      </c>
      <c r="G7" s="1">
        <v>25174</v>
      </c>
      <c r="H7" s="1">
        <v>24975</v>
      </c>
      <c r="I7" s="1">
        <v>25393</v>
      </c>
      <c r="J7" s="1">
        <v>26073</v>
      </c>
      <c r="K7" s="1">
        <v>49262</v>
      </c>
      <c r="L7" s="1">
        <v>24370</v>
      </c>
      <c r="M7" s="1">
        <v>24204</v>
      </c>
      <c r="N7" s="1">
        <v>23890</v>
      </c>
      <c r="O7" s="1">
        <v>23604</v>
      </c>
      <c r="P7" s="1">
        <v>23164</v>
      </c>
      <c r="Q7" s="1">
        <v>22848</v>
      </c>
      <c r="R7" s="1">
        <v>22532</v>
      </c>
      <c r="S7" s="1">
        <v>22312</v>
      </c>
      <c r="T7" s="1">
        <v>22136</v>
      </c>
      <c r="U7" s="1">
        <v>21904</v>
      </c>
      <c r="V7" s="1">
        <v>21813</v>
      </c>
      <c r="W7" s="1">
        <v>21902</v>
      </c>
      <c r="X7" s="1">
        <v>22156</v>
      </c>
      <c r="Y7" s="1">
        <v>22535</v>
      </c>
      <c r="Z7" s="1">
        <v>23177</v>
      </c>
      <c r="AA7" s="1">
        <v>23635</v>
      </c>
      <c r="AB7" s="1">
        <v>23986</v>
      </c>
      <c r="AC7" s="1">
        <v>24277</v>
      </c>
      <c r="AD7" s="1">
        <v>24678</v>
      </c>
      <c r="AE7" s="1">
        <v>24979</v>
      </c>
      <c r="AF7" s="1">
        <v>25420</v>
      </c>
      <c r="AG7" s="1">
        <v>25890</v>
      </c>
      <c r="AH7" s="1">
        <v>26572</v>
      </c>
      <c r="AI7" s="1">
        <v>27700</v>
      </c>
      <c r="AJ7" s="1">
        <v>28784</v>
      </c>
      <c r="AK7" s="1">
        <v>29836</v>
      </c>
      <c r="AL7" s="1">
        <v>30556</v>
      </c>
      <c r="AM7" s="1">
        <v>31050</v>
      </c>
      <c r="AN7" s="1">
        <v>31303</v>
      </c>
      <c r="AO7" s="1">
        <v>31529</v>
      </c>
      <c r="AP7" s="1">
        <v>31417</v>
      </c>
      <c r="AQ7" s="1">
        <v>31028</v>
      </c>
      <c r="AR7" s="1">
        <v>30252</v>
      </c>
      <c r="AS7" s="1">
        <v>29191</v>
      </c>
      <c r="AT7" s="1">
        <v>28167</v>
      </c>
      <c r="AU7" s="1">
        <v>27203</v>
      </c>
      <c r="AV7" s="1">
        <v>26337</v>
      </c>
      <c r="AW7" s="1">
        <v>25448</v>
      </c>
      <c r="AX7" s="1">
        <v>24400</v>
      </c>
      <c r="AY7" s="1">
        <v>23156</v>
      </c>
      <c r="AZ7" s="1">
        <v>22031</v>
      </c>
      <c r="BA7" s="1">
        <v>20777</v>
      </c>
      <c r="BB7" s="1">
        <v>19477</v>
      </c>
      <c r="BC7" s="1">
        <v>17879</v>
      </c>
      <c r="BD7" s="1">
        <v>16095</v>
      </c>
      <c r="BE7" s="1">
        <v>14565</v>
      </c>
      <c r="BF7" s="1">
        <v>13467</v>
      </c>
      <c r="BG7" s="1">
        <v>12893</v>
      </c>
      <c r="BH7" s="1">
        <v>12485</v>
      </c>
      <c r="BI7" s="1">
        <v>12173</v>
      </c>
      <c r="BJ7" s="1">
        <v>11881</v>
      </c>
      <c r="BK7" s="1">
        <v>11604</v>
      </c>
      <c r="BL7" s="1">
        <v>11248</v>
      </c>
      <c r="BM7" s="1">
        <v>10786</v>
      </c>
      <c r="BN7" s="1">
        <v>10322</v>
      </c>
      <c r="BO7" s="1">
        <v>9890</v>
      </c>
      <c r="BP7" s="1">
        <v>9485</v>
      </c>
      <c r="BQ7" s="1">
        <v>9136</v>
      </c>
      <c r="BR7" s="1">
        <v>8667</v>
      </c>
      <c r="BS7" s="1">
        <v>8206</v>
      </c>
      <c r="BT7" s="1">
        <v>7792</v>
      </c>
      <c r="BU7" s="1">
        <v>7400</v>
      </c>
      <c r="BV7" s="1">
        <v>6938</v>
      </c>
      <c r="BW7" s="1">
        <v>6366</v>
      </c>
      <c r="BX7" s="1">
        <v>5870</v>
      </c>
      <c r="BY7" s="1">
        <v>5424</v>
      </c>
      <c r="BZ7" s="1">
        <v>5061</v>
      </c>
      <c r="CA7" s="1">
        <v>4593</v>
      </c>
      <c r="CB7" s="1">
        <v>4250</v>
      </c>
      <c r="CC7" s="1">
        <v>3828</v>
      </c>
      <c r="CD7" s="1">
        <v>3470</v>
      </c>
      <c r="CE7" s="1">
        <v>3136</v>
      </c>
      <c r="CF7" s="1">
        <v>2872</v>
      </c>
      <c r="CG7" s="1">
        <v>2553</v>
      </c>
      <c r="CH7" s="1">
        <v>2309</v>
      </c>
      <c r="CI7" s="1">
        <v>2046</v>
      </c>
      <c r="CJ7" s="1">
        <v>1794</v>
      </c>
      <c r="CK7" s="1">
        <v>1591</v>
      </c>
      <c r="CL7" s="1">
        <v>1354</v>
      </c>
      <c r="CM7" s="1">
        <v>1122</v>
      </c>
      <c r="CN7" s="1">
        <v>938</v>
      </c>
      <c r="CO7" s="1">
        <v>755</v>
      </c>
      <c r="CP7" s="1">
        <v>662</v>
      </c>
      <c r="CQ7" s="1">
        <v>560</v>
      </c>
      <c r="CR7" s="1">
        <v>451</v>
      </c>
      <c r="CS7" s="1">
        <v>349</v>
      </c>
      <c r="CT7" s="1">
        <v>336</v>
      </c>
      <c r="CU7" s="1">
        <v>307</v>
      </c>
      <c r="CV7" s="1">
        <v>293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>
        <v>31.467138616421298</v>
      </c>
      <c r="DC7">
        <v>0</v>
      </c>
      <c r="DD7">
        <v>27154</v>
      </c>
      <c r="DE7">
        <v>27232</v>
      </c>
      <c r="DF7">
        <v>27453</v>
      </c>
      <c r="DG7">
        <v>28146</v>
      </c>
      <c r="DH7">
        <v>49601</v>
      </c>
      <c r="DI7">
        <v>22578</v>
      </c>
      <c r="DJ7">
        <v>22463</v>
      </c>
      <c r="DK7">
        <v>22258</v>
      </c>
      <c r="DL7">
        <v>21853</v>
      </c>
      <c r="DM7">
        <v>21423</v>
      </c>
      <c r="DN7">
        <v>21064</v>
      </c>
      <c r="DO7">
        <v>20770</v>
      </c>
      <c r="DP7">
        <v>20555</v>
      </c>
      <c r="DQ7">
        <v>20391</v>
      </c>
      <c r="DR7">
        <v>20259</v>
      </c>
      <c r="DS7">
        <v>20176</v>
      </c>
      <c r="DT7">
        <v>20205</v>
      </c>
      <c r="DU7">
        <v>20502</v>
      </c>
      <c r="DV7">
        <v>20983</v>
      </c>
      <c r="DW7">
        <v>21598</v>
      </c>
      <c r="DX7">
        <v>22140</v>
      </c>
      <c r="DY7">
        <v>22545</v>
      </c>
      <c r="DZ7">
        <v>22933</v>
      </c>
      <c r="EA7">
        <v>23359</v>
      </c>
      <c r="EB7">
        <v>23773</v>
      </c>
      <c r="EC7">
        <v>24281</v>
      </c>
      <c r="ED7">
        <v>24716</v>
      </c>
      <c r="EE7">
        <v>25574</v>
      </c>
      <c r="EF7">
        <v>26555</v>
      </c>
      <c r="EG7">
        <v>27839</v>
      </c>
      <c r="EH7">
        <v>28883</v>
      </c>
      <c r="EI7">
        <v>29507</v>
      </c>
      <c r="EJ7">
        <v>29968</v>
      </c>
      <c r="EK7">
        <v>30104</v>
      </c>
      <c r="EL7">
        <v>30294</v>
      </c>
      <c r="EM7">
        <v>30220</v>
      </c>
      <c r="EN7">
        <v>29906</v>
      </c>
      <c r="EO7">
        <v>29344</v>
      </c>
      <c r="EP7">
        <v>28430</v>
      </c>
      <c r="EQ7">
        <v>27323</v>
      </c>
      <c r="ER7">
        <v>26389</v>
      </c>
      <c r="ES7">
        <v>25746</v>
      </c>
      <c r="ET7">
        <v>24885</v>
      </c>
      <c r="EU7">
        <v>23830</v>
      </c>
      <c r="EV7">
        <v>22598</v>
      </c>
      <c r="EW7">
        <v>21627</v>
      </c>
      <c r="EX7">
        <v>20574</v>
      </c>
      <c r="EY7">
        <v>19412</v>
      </c>
      <c r="EZ7">
        <v>17851</v>
      </c>
      <c r="FA7">
        <v>15983</v>
      </c>
      <c r="FB7">
        <v>14442</v>
      </c>
      <c r="FC7">
        <v>13354</v>
      </c>
      <c r="FD7">
        <v>12874</v>
      </c>
      <c r="FE7">
        <v>12618</v>
      </c>
      <c r="FF7">
        <v>12272</v>
      </c>
      <c r="FG7">
        <v>12053</v>
      </c>
      <c r="FH7">
        <v>11818</v>
      </c>
      <c r="FI7">
        <v>11509</v>
      </c>
      <c r="FJ7">
        <v>11095</v>
      </c>
      <c r="FK7">
        <v>10703</v>
      </c>
      <c r="FL7">
        <v>10327</v>
      </c>
      <c r="FM7">
        <v>10034</v>
      </c>
      <c r="FN7">
        <v>9675</v>
      </c>
      <c r="FO7">
        <v>9298</v>
      </c>
      <c r="FP7">
        <v>8869</v>
      </c>
      <c r="FQ7">
        <v>8436</v>
      </c>
      <c r="FR7">
        <v>8055</v>
      </c>
      <c r="FS7">
        <v>7627</v>
      </c>
      <c r="FT7">
        <v>7090</v>
      </c>
      <c r="FU7">
        <v>6562</v>
      </c>
      <c r="FV7">
        <v>6045</v>
      </c>
      <c r="FW7">
        <v>5682</v>
      </c>
      <c r="FX7">
        <v>5351</v>
      </c>
      <c r="FY7">
        <v>5118</v>
      </c>
      <c r="FZ7">
        <v>4712</v>
      </c>
      <c r="GA7">
        <v>4432</v>
      </c>
      <c r="GB7">
        <v>4118</v>
      </c>
      <c r="GC7">
        <v>3901</v>
      </c>
      <c r="GD7">
        <v>3616</v>
      </c>
      <c r="GE7">
        <v>3324</v>
      </c>
      <c r="GF7">
        <v>2954</v>
      </c>
      <c r="GG7">
        <v>2776</v>
      </c>
      <c r="GH7">
        <v>2550</v>
      </c>
      <c r="GI7">
        <v>2216</v>
      </c>
      <c r="GJ7">
        <v>1872</v>
      </c>
      <c r="GK7">
        <v>1500</v>
      </c>
      <c r="GL7">
        <v>1338</v>
      </c>
      <c r="GM7">
        <v>1142</v>
      </c>
      <c r="GN7">
        <v>963</v>
      </c>
      <c r="GO7">
        <v>826</v>
      </c>
      <c r="GP7">
        <v>736</v>
      </c>
      <c r="GQ7">
        <v>650</v>
      </c>
      <c r="GR7">
        <v>691</v>
      </c>
      <c r="GS7">
        <v>668</v>
      </c>
      <c r="GT7">
        <v>0</v>
      </c>
      <c r="GU7">
        <v>0</v>
      </c>
      <c r="GV7">
        <v>0</v>
      </c>
      <c r="GW7">
        <v>0</v>
      </c>
      <c r="GX7">
        <v>0</v>
      </c>
      <c r="GY7">
        <v>32.333902971550103</v>
      </c>
      <c r="GZ7">
        <v>3223</v>
      </c>
      <c r="HA7">
        <v>7929</v>
      </c>
      <c r="HB7">
        <v>7729</v>
      </c>
      <c r="HC7">
        <v>3540</v>
      </c>
      <c r="HD7">
        <v>1705</v>
      </c>
      <c r="HE7">
        <v>663</v>
      </c>
      <c r="HF7">
        <v>161</v>
      </c>
      <c r="HG7">
        <v>3531</v>
      </c>
      <c r="HH7">
        <v>11246</v>
      </c>
      <c r="HI7">
        <v>11816</v>
      </c>
      <c r="HJ7">
        <v>5482</v>
      </c>
      <c r="HK7">
        <v>2330</v>
      </c>
      <c r="HL7">
        <v>701</v>
      </c>
      <c r="HM7">
        <v>196</v>
      </c>
      <c r="HN7">
        <v>76830</v>
      </c>
      <c r="HO7">
        <v>201213</v>
      </c>
      <c r="HP7">
        <v>188974</v>
      </c>
      <c r="HQ7">
        <v>114137</v>
      </c>
      <c r="HR7">
        <v>65910</v>
      </c>
      <c r="HS7">
        <v>26282</v>
      </c>
      <c r="HT7">
        <v>8671</v>
      </c>
      <c r="HU7">
        <v>116983</v>
      </c>
      <c r="HV7">
        <v>132080</v>
      </c>
      <c r="HW7">
        <v>179558</v>
      </c>
      <c r="HX7">
        <v>105258</v>
      </c>
      <c r="HY7">
        <v>58808</v>
      </c>
      <c r="HZ7">
        <v>17445</v>
      </c>
      <c r="IA7">
        <v>6171</v>
      </c>
      <c r="IB7">
        <v>169978</v>
      </c>
      <c r="IC7">
        <v>94653</v>
      </c>
      <c r="ID7">
        <v>35858</v>
      </c>
      <c r="IE7">
        <v>5323</v>
      </c>
      <c r="IF7">
        <v>7907</v>
      </c>
      <c r="IG7">
        <v>1048</v>
      </c>
      <c r="IH7">
        <v>2123</v>
      </c>
      <c r="II7">
        <v>114973</v>
      </c>
      <c r="IJ7">
        <v>148586</v>
      </c>
      <c r="IK7">
        <v>28735</v>
      </c>
      <c r="IL7">
        <v>1277</v>
      </c>
      <c r="IM7">
        <v>921</v>
      </c>
      <c r="IN7">
        <v>489</v>
      </c>
      <c r="IO7">
        <v>74</v>
      </c>
      <c r="IP7">
        <v>283</v>
      </c>
      <c r="IQ7">
        <v>1151</v>
      </c>
      <c r="IR7">
        <v>2314</v>
      </c>
      <c r="IS7">
        <v>4197</v>
      </c>
      <c r="IT7">
        <v>8680</v>
      </c>
      <c r="IU7">
        <v>13064</v>
      </c>
      <c r="IV7">
        <v>3912</v>
      </c>
      <c r="IW7">
        <v>1987</v>
      </c>
      <c r="IX7">
        <v>2583</v>
      </c>
      <c r="IY7">
        <v>10126</v>
      </c>
      <c r="IZ7">
        <v>16001</v>
      </c>
      <c r="JA7">
        <v>28055</v>
      </c>
      <c r="JB7">
        <v>30902</v>
      </c>
      <c r="JC7">
        <v>17766</v>
      </c>
    </row>
    <row r="8" spans="1:263" x14ac:dyDescent="0.3">
      <c r="A8" s="1">
        <v>1996</v>
      </c>
      <c r="B8" s="1">
        <v>3100020</v>
      </c>
      <c r="C8" s="1">
        <v>593639</v>
      </c>
      <c r="D8" s="1">
        <v>1557819</v>
      </c>
      <c r="E8" s="1">
        <v>1542201</v>
      </c>
      <c r="F8" s="1">
        <v>0</v>
      </c>
      <c r="G8" s="1">
        <v>24576</v>
      </c>
      <c r="H8" s="1">
        <v>25217</v>
      </c>
      <c r="I8" s="1">
        <v>25100</v>
      </c>
      <c r="J8" s="1">
        <v>25552</v>
      </c>
      <c r="K8" s="1">
        <v>26523</v>
      </c>
      <c r="L8" s="1">
        <v>49569</v>
      </c>
      <c r="M8" s="1">
        <v>24681</v>
      </c>
      <c r="N8" s="1">
        <v>24535</v>
      </c>
      <c r="O8" s="1">
        <v>24177</v>
      </c>
      <c r="P8" s="1">
        <v>23904</v>
      </c>
      <c r="Q8" s="1">
        <v>23453</v>
      </c>
      <c r="R8" s="1">
        <v>23153</v>
      </c>
      <c r="S8" s="1">
        <v>22811</v>
      </c>
      <c r="T8" s="1">
        <v>22600</v>
      </c>
      <c r="U8" s="1">
        <v>22422</v>
      </c>
      <c r="V8" s="1">
        <v>22181</v>
      </c>
      <c r="W8" s="1">
        <v>22097</v>
      </c>
      <c r="X8" s="1">
        <v>22195</v>
      </c>
      <c r="Y8" s="1">
        <v>22451</v>
      </c>
      <c r="Z8" s="1">
        <v>22823</v>
      </c>
      <c r="AA8" s="1">
        <v>23498</v>
      </c>
      <c r="AB8" s="1">
        <v>23933</v>
      </c>
      <c r="AC8" s="1">
        <v>24261</v>
      </c>
      <c r="AD8" s="1">
        <v>24603</v>
      </c>
      <c r="AE8" s="1">
        <v>25002</v>
      </c>
      <c r="AF8" s="1">
        <v>25310</v>
      </c>
      <c r="AG8" s="1">
        <v>25726</v>
      </c>
      <c r="AH8" s="1">
        <v>26248</v>
      </c>
      <c r="AI8" s="1">
        <v>26911</v>
      </c>
      <c r="AJ8" s="1">
        <v>28022</v>
      </c>
      <c r="AK8" s="1">
        <v>29152</v>
      </c>
      <c r="AL8" s="1">
        <v>30200</v>
      </c>
      <c r="AM8" s="1">
        <v>30965</v>
      </c>
      <c r="AN8" s="1">
        <v>31448</v>
      </c>
      <c r="AO8" s="1">
        <v>31674</v>
      </c>
      <c r="AP8" s="1">
        <v>31732</v>
      </c>
      <c r="AQ8" s="1">
        <v>31586</v>
      </c>
      <c r="AR8" s="1">
        <v>31161</v>
      </c>
      <c r="AS8" s="1">
        <v>30334</v>
      </c>
      <c r="AT8" s="1">
        <v>29256</v>
      </c>
      <c r="AU8" s="1">
        <v>28194</v>
      </c>
      <c r="AV8" s="1">
        <v>27221</v>
      </c>
      <c r="AW8" s="1">
        <v>26362</v>
      </c>
      <c r="AX8" s="1">
        <v>25471</v>
      </c>
      <c r="AY8" s="1">
        <v>24439</v>
      </c>
      <c r="AZ8" s="1">
        <v>23151</v>
      </c>
      <c r="BA8" s="1">
        <v>22020</v>
      </c>
      <c r="BB8" s="1">
        <v>20775</v>
      </c>
      <c r="BC8" s="1">
        <v>19488</v>
      </c>
      <c r="BD8" s="1">
        <v>17878</v>
      </c>
      <c r="BE8" s="1">
        <v>16064</v>
      </c>
      <c r="BF8" s="1">
        <v>14521</v>
      </c>
      <c r="BG8" s="1">
        <v>13440</v>
      </c>
      <c r="BH8" s="1">
        <v>12857</v>
      </c>
      <c r="BI8" s="1">
        <v>12462</v>
      </c>
      <c r="BJ8" s="1">
        <v>12094</v>
      </c>
      <c r="BK8" s="1">
        <v>11805</v>
      </c>
      <c r="BL8" s="1">
        <v>11539</v>
      </c>
      <c r="BM8" s="1">
        <v>11206</v>
      </c>
      <c r="BN8" s="1">
        <v>10723</v>
      </c>
      <c r="BO8" s="1">
        <v>10187</v>
      </c>
      <c r="BP8" s="1">
        <v>9744</v>
      </c>
      <c r="BQ8" s="1">
        <v>9331</v>
      </c>
      <c r="BR8" s="1">
        <v>9033</v>
      </c>
      <c r="BS8" s="1">
        <v>8530</v>
      </c>
      <c r="BT8" s="1">
        <v>8033</v>
      </c>
      <c r="BU8" s="1">
        <v>7604</v>
      </c>
      <c r="BV8" s="1">
        <v>7235</v>
      </c>
      <c r="BW8" s="1">
        <v>6747</v>
      </c>
      <c r="BX8" s="1">
        <v>6216</v>
      </c>
      <c r="BY8" s="1">
        <v>5643</v>
      </c>
      <c r="BZ8" s="1">
        <v>5221</v>
      </c>
      <c r="CA8" s="1">
        <v>4860</v>
      </c>
      <c r="CB8" s="1">
        <v>4403</v>
      </c>
      <c r="CC8" s="1">
        <v>4084</v>
      </c>
      <c r="CD8" s="1">
        <v>3568</v>
      </c>
      <c r="CE8" s="1">
        <v>3277</v>
      </c>
      <c r="CF8" s="1">
        <v>2938</v>
      </c>
      <c r="CG8" s="1">
        <v>2723</v>
      </c>
      <c r="CH8" s="1">
        <v>2409</v>
      </c>
      <c r="CI8" s="1">
        <v>2089</v>
      </c>
      <c r="CJ8" s="1">
        <v>1866</v>
      </c>
      <c r="CK8" s="1">
        <v>1627</v>
      </c>
      <c r="CL8" s="1">
        <v>1474</v>
      </c>
      <c r="CM8" s="1">
        <v>1235</v>
      </c>
      <c r="CN8" s="1">
        <v>946</v>
      </c>
      <c r="CO8" s="1">
        <v>813</v>
      </c>
      <c r="CP8" s="1">
        <v>668</v>
      </c>
      <c r="CQ8" s="1">
        <v>574</v>
      </c>
      <c r="CR8" s="1">
        <v>479</v>
      </c>
      <c r="CS8" s="1">
        <v>402</v>
      </c>
      <c r="CT8" s="1">
        <v>313</v>
      </c>
      <c r="CU8" s="1">
        <v>290</v>
      </c>
      <c r="CV8" s="1">
        <v>263</v>
      </c>
      <c r="CW8" s="1">
        <v>242</v>
      </c>
      <c r="CX8" s="1">
        <v>0</v>
      </c>
      <c r="CY8" s="1">
        <v>0</v>
      </c>
      <c r="CZ8" s="1">
        <v>0</v>
      </c>
      <c r="DA8" s="1">
        <v>0</v>
      </c>
      <c r="DB8">
        <v>31.742882838121702</v>
      </c>
      <c r="DC8">
        <v>0</v>
      </c>
      <c r="DD8">
        <v>26955</v>
      </c>
      <c r="DE8">
        <v>27184</v>
      </c>
      <c r="DF8">
        <v>27334</v>
      </c>
      <c r="DG8">
        <v>27553</v>
      </c>
      <c r="DH8">
        <v>28451</v>
      </c>
      <c r="DI8">
        <v>49818</v>
      </c>
      <c r="DJ8">
        <v>22796</v>
      </c>
      <c r="DK8">
        <v>22685</v>
      </c>
      <c r="DL8">
        <v>22495</v>
      </c>
      <c r="DM8">
        <v>22079</v>
      </c>
      <c r="DN8">
        <v>21650</v>
      </c>
      <c r="DO8">
        <v>21247</v>
      </c>
      <c r="DP8">
        <v>21017</v>
      </c>
      <c r="DQ8">
        <v>20727</v>
      </c>
      <c r="DR8">
        <v>20605</v>
      </c>
      <c r="DS8">
        <v>20431</v>
      </c>
      <c r="DT8">
        <v>20373</v>
      </c>
      <c r="DU8">
        <v>20408</v>
      </c>
      <c r="DV8">
        <v>20727</v>
      </c>
      <c r="DW8">
        <v>21186</v>
      </c>
      <c r="DX8">
        <v>21823</v>
      </c>
      <c r="DY8">
        <v>22379</v>
      </c>
      <c r="DZ8">
        <v>22785</v>
      </c>
      <c r="EA8">
        <v>23171</v>
      </c>
      <c r="EB8">
        <v>23595</v>
      </c>
      <c r="EC8">
        <v>24013</v>
      </c>
      <c r="ED8">
        <v>24535</v>
      </c>
      <c r="EE8">
        <v>24968</v>
      </c>
      <c r="EF8">
        <v>25845</v>
      </c>
      <c r="EG8">
        <v>26844</v>
      </c>
      <c r="EH8">
        <v>28146</v>
      </c>
      <c r="EI8">
        <v>29157</v>
      </c>
      <c r="EJ8">
        <v>29833</v>
      </c>
      <c r="EK8">
        <v>30267</v>
      </c>
      <c r="EL8">
        <v>30401</v>
      </c>
      <c r="EM8">
        <v>30454</v>
      </c>
      <c r="EN8">
        <v>30382</v>
      </c>
      <c r="EO8">
        <v>30077</v>
      </c>
      <c r="EP8">
        <v>29493</v>
      </c>
      <c r="EQ8">
        <v>28582</v>
      </c>
      <c r="ER8">
        <v>27454</v>
      </c>
      <c r="ES8">
        <v>26486</v>
      </c>
      <c r="ET8">
        <v>25869</v>
      </c>
      <c r="EU8">
        <v>24996</v>
      </c>
      <c r="EV8">
        <v>23928</v>
      </c>
      <c r="EW8">
        <v>22710</v>
      </c>
      <c r="EX8">
        <v>21729</v>
      </c>
      <c r="EY8">
        <v>20675</v>
      </c>
      <c r="EZ8">
        <v>19526</v>
      </c>
      <c r="FA8">
        <v>17955</v>
      </c>
      <c r="FB8">
        <v>16033</v>
      </c>
      <c r="FC8">
        <v>14473</v>
      </c>
      <c r="FD8">
        <v>13401</v>
      </c>
      <c r="FE8">
        <v>12916</v>
      </c>
      <c r="FF8">
        <v>12668</v>
      </c>
      <c r="FG8">
        <v>12261</v>
      </c>
      <c r="FH8">
        <v>12066</v>
      </c>
      <c r="FI8">
        <v>11849</v>
      </c>
      <c r="FJ8">
        <v>11535</v>
      </c>
      <c r="FK8">
        <v>11088</v>
      </c>
      <c r="FL8">
        <v>10704</v>
      </c>
      <c r="FM8">
        <v>10321</v>
      </c>
      <c r="FN8">
        <v>10020</v>
      </c>
      <c r="FO8">
        <v>9679</v>
      </c>
      <c r="FP8">
        <v>9277</v>
      </c>
      <c r="FQ8">
        <v>8797</v>
      </c>
      <c r="FR8">
        <v>8355</v>
      </c>
      <c r="FS8">
        <v>7963</v>
      </c>
      <c r="FT8">
        <v>7552</v>
      </c>
      <c r="FU8">
        <v>7038</v>
      </c>
      <c r="FV8">
        <v>6449</v>
      </c>
      <c r="FW8">
        <v>5923</v>
      </c>
      <c r="FX8">
        <v>5572</v>
      </c>
      <c r="FY8">
        <v>5237</v>
      </c>
      <c r="FZ8">
        <v>4997</v>
      </c>
      <c r="GA8">
        <v>4538</v>
      </c>
      <c r="GB8">
        <v>4297</v>
      </c>
      <c r="GC8">
        <v>3990</v>
      </c>
      <c r="GD8">
        <v>3737</v>
      </c>
      <c r="GE8">
        <v>3495</v>
      </c>
      <c r="GF8">
        <v>3132</v>
      </c>
      <c r="GG8">
        <v>2785</v>
      </c>
      <c r="GH8">
        <v>2593</v>
      </c>
      <c r="GI8">
        <v>2393</v>
      </c>
      <c r="GJ8">
        <v>2069</v>
      </c>
      <c r="GK8">
        <v>1652</v>
      </c>
      <c r="GL8">
        <v>1324</v>
      </c>
      <c r="GM8">
        <v>1187</v>
      </c>
      <c r="GN8">
        <v>1013</v>
      </c>
      <c r="GO8">
        <v>869</v>
      </c>
      <c r="GP8">
        <v>745</v>
      </c>
      <c r="GQ8">
        <v>642</v>
      </c>
      <c r="GR8">
        <v>560</v>
      </c>
      <c r="GS8">
        <v>610</v>
      </c>
      <c r="GT8">
        <v>596</v>
      </c>
      <c r="GU8">
        <v>0</v>
      </c>
      <c r="GV8">
        <v>0</v>
      </c>
      <c r="GW8">
        <v>0</v>
      </c>
      <c r="GX8">
        <v>0</v>
      </c>
      <c r="GY8">
        <v>32.6032187783685</v>
      </c>
      <c r="GZ8">
        <v>3297</v>
      </c>
      <c r="HA8">
        <v>8575</v>
      </c>
      <c r="HB8">
        <v>8941</v>
      </c>
      <c r="HC8">
        <v>3998</v>
      </c>
      <c r="HD8">
        <v>1965</v>
      </c>
      <c r="HE8">
        <v>733</v>
      </c>
      <c r="HF8">
        <v>207</v>
      </c>
      <c r="HG8">
        <v>3501</v>
      </c>
      <c r="HH8">
        <v>11469</v>
      </c>
      <c r="HI8">
        <v>13501</v>
      </c>
      <c r="HJ8">
        <v>6242</v>
      </c>
      <c r="HK8">
        <v>2653</v>
      </c>
      <c r="HL8">
        <v>822</v>
      </c>
      <c r="HM8">
        <v>218</v>
      </c>
      <c r="HN8">
        <v>73305</v>
      </c>
      <c r="HO8">
        <v>203459</v>
      </c>
      <c r="HP8">
        <v>197227</v>
      </c>
      <c r="HQ8">
        <v>119050</v>
      </c>
      <c r="HR8">
        <v>68402</v>
      </c>
      <c r="HS8">
        <v>26769</v>
      </c>
      <c r="HT8">
        <v>9261</v>
      </c>
      <c r="HU8">
        <v>143459</v>
      </c>
      <c r="HV8">
        <v>116691</v>
      </c>
      <c r="HW8">
        <v>181466</v>
      </c>
      <c r="HX8">
        <v>110762</v>
      </c>
      <c r="HY8">
        <v>62072</v>
      </c>
      <c r="HZ8">
        <v>19021</v>
      </c>
      <c r="IA8">
        <v>6259</v>
      </c>
      <c r="IB8">
        <v>171477</v>
      </c>
      <c r="IC8">
        <v>93210</v>
      </c>
      <c r="ID8">
        <v>37875</v>
      </c>
      <c r="IE8">
        <v>6596</v>
      </c>
      <c r="IF8">
        <v>8065</v>
      </c>
      <c r="IG8">
        <v>1356</v>
      </c>
      <c r="IH8">
        <v>2126</v>
      </c>
      <c r="II8">
        <v>85107</v>
      </c>
      <c r="IJ8">
        <v>164512</v>
      </c>
      <c r="IK8">
        <v>37193</v>
      </c>
      <c r="IL8">
        <v>1847</v>
      </c>
      <c r="IM8">
        <v>1337</v>
      </c>
      <c r="IN8">
        <v>698</v>
      </c>
      <c r="IO8">
        <v>139</v>
      </c>
      <c r="IP8">
        <v>236</v>
      </c>
      <c r="IQ8">
        <v>1030</v>
      </c>
      <c r="IR8">
        <v>2334</v>
      </c>
      <c r="IS8">
        <v>4222</v>
      </c>
      <c r="IT8">
        <v>8735</v>
      </c>
      <c r="IU8">
        <v>14075</v>
      </c>
      <c r="IV8">
        <v>4096</v>
      </c>
      <c r="IW8">
        <v>2233</v>
      </c>
      <c r="IX8">
        <v>2382</v>
      </c>
      <c r="IY8">
        <v>9795</v>
      </c>
      <c r="IZ8">
        <v>16306</v>
      </c>
      <c r="JA8">
        <v>27694</v>
      </c>
      <c r="JB8">
        <v>31237</v>
      </c>
      <c r="JC8">
        <v>19050</v>
      </c>
    </row>
    <row r="9" spans="1:263" x14ac:dyDescent="0.3">
      <c r="A9" s="1">
        <v>1997</v>
      </c>
      <c r="B9" s="1">
        <v>3161849</v>
      </c>
      <c r="C9" s="1">
        <v>628201</v>
      </c>
      <c r="D9" s="1">
        <v>1587484</v>
      </c>
      <c r="E9" s="1">
        <v>1574365</v>
      </c>
      <c r="F9" s="1">
        <v>0</v>
      </c>
      <c r="G9" s="1">
        <v>24321</v>
      </c>
      <c r="H9" s="1">
        <v>24621</v>
      </c>
      <c r="I9" s="1">
        <v>25309</v>
      </c>
      <c r="J9" s="1">
        <v>25246</v>
      </c>
      <c r="K9" s="1">
        <v>25718</v>
      </c>
      <c r="L9" s="1">
        <v>27030</v>
      </c>
      <c r="M9" s="1">
        <v>49883</v>
      </c>
      <c r="N9" s="1">
        <v>24993</v>
      </c>
      <c r="O9" s="1">
        <v>24883</v>
      </c>
      <c r="P9" s="1">
        <v>24485</v>
      </c>
      <c r="Q9" s="1">
        <v>24219</v>
      </c>
      <c r="R9" s="1">
        <v>23762</v>
      </c>
      <c r="S9" s="1">
        <v>23462</v>
      </c>
      <c r="T9" s="1">
        <v>23113</v>
      </c>
      <c r="U9" s="1">
        <v>22880</v>
      </c>
      <c r="V9" s="1">
        <v>22732</v>
      </c>
      <c r="W9" s="1">
        <v>22452</v>
      </c>
      <c r="X9" s="1">
        <v>22392</v>
      </c>
      <c r="Y9" s="1">
        <v>22516</v>
      </c>
      <c r="Z9" s="1">
        <v>22745</v>
      </c>
      <c r="AA9" s="1">
        <v>23101</v>
      </c>
      <c r="AB9" s="1">
        <v>23803</v>
      </c>
      <c r="AC9" s="1">
        <v>24217</v>
      </c>
      <c r="AD9" s="1">
        <v>24555</v>
      </c>
      <c r="AE9" s="1">
        <v>24922</v>
      </c>
      <c r="AF9" s="1">
        <v>25337</v>
      </c>
      <c r="AG9" s="1">
        <v>25658</v>
      </c>
      <c r="AH9" s="1">
        <v>26024</v>
      </c>
      <c r="AI9" s="1">
        <v>26585</v>
      </c>
      <c r="AJ9" s="1">
        <v>27213</v>
      </c>
      <c r="AK9" s="1">
        <v>28422</v>
      </c>
      <c r="AL9" s="1">
        <v>29520</v>
      </c>
      <c r="AM9" s="1">
        <v>30644</v>
      </c>
      <c r="AN9" s="1">
        <v>31354</v>
      </c>
      <c r="AO9" s="1">
        <v>31820</v>
      </c>
      <c r="AP9" s="1">
        <v>31902</v>
      </c>
      <c r="AQ9" s="1">
        <v>31942</v>
      </c>
      <c r="AR9" s="1">
        <v>31728</v>
      </c>
      <c r="AS9" s="1">
        <v>31258</v>
      </c>
      <c r="AT9" s="1">
        <v>30409</v>
      </c>
      <c r="AU9" s="1">
        <v>29291</v>
      </c>
      <c r="AV9" s="1">
        <v>28203</v>
      </c>
      <c r="AW9" s="1">
        <v>27232</v>
      </c>
      <c r="AX9" s="1">
        <v>26379</v>
      </c>
      <c r="AY9" s="1">
        <v>25499</v>
      </c>
      <c r="AZ9" s="1">
        <v>24422</v>
      </c>
      <c r="BA9" s="1">
        <v>23141</v>
      </c>
      <c r="BB9" s="1">
        <v>21993</v>
      </c>
      <c r="BC9" s="1">
        <v>20756</v>
      </c>
      <c r="BD9" s="1">
        <v>19493</v>
      </c>
      <c r="BE9" s="1">
        <v>17821</v>
      </c>
      <c r="BF9" s="1">
        <v>16018</v>
      </c>
      <c r="BG9" s="1">
        <v>14469</v>
      </c>
      <c r="BH9" s="1">
        <v>13412</v>
      </c>
      <c r="BI9" s="1">
        <v>12830</v>
      </c>
      <c r="BJ9" s="1">
        <v>12373</v>
      </c>
      <c r="BK9" s="1">
        <v>11986</v>
      </c>
      <c r="BL9" s="1">
        <v>11737</v>
      </c>
      <c r="BM9" s="1">
        <v>11440</v>
      </c>
      <c r="BN9" s="1">
        <v>11138</v>
      </c>
      <c r="BO9" s="1">
        <v>10574</v>
      </c>
      <c r="BP9" s="1">
        <v>10064</v>
      </c>
      <c r="BQ9" s="1">
        <v>9605</v>
      </c>
      <c r="BR9" s="1">
        <v>9222</v>
      </c>
      <c r="BS9" s="1">
        <v>8914</v>
      </c>
      <c r="BT9" s="1">
        <v>8354</v>
      </c>
      <c r="BU9" s="1">
        <v>7845</v>
      </c>
      <c r="BV9" s="1">
        <v>7438</v>
      </c>
      <c r="BW9" s="1">
        <v>7079</v>
      </c>
      <c r="BX9" s="1">
        <v>6591</v>
      </c>
      <c r="BY9" s="1">
        <v>5973</v>
      </c>
      <c r="BZ9" s="1">
        <v>5406</v>
      </c>
      <c r="CA9" s="1">
        <v>5002</v>
      </c>
      <c r="CB9" s="1">
        <v>4682</v>
      </c>
      <c r="CC9" s="1">
        <v>4252</v>
      </c>
      <c r="CD9" s="1">
        <v>3830</v>
      </c>
      <c r="CE9" s="1">
        <v>3364</v>
      </c>
      <c r="CF9" s="1">
        <v>3080</v>
      </c>
      <c r="CG9" s="1">
        <v>2784</v>
      </c>
      <c r="CH9" s="1">
        <v>2563</v>
      </c>
      <c r="CI9" s="1">
        <v>2210</v>
      </c>
      <c r="CJ9" s="1">
        <v>1897</v>
      </c>
      <c r="CK9" s="1">
        <v>1697</v>
      </c>
      <c r="CL9" s="1">
        <v>1466</v>
      </c>
      <c r="CM9" s="1">
        <v>1354</v>
      </c>
      <c r="CN9" s="1">
        <v>1068</v>
      </c>
      <c r="CO9" s="1">
        <v>810</v>
      </c>
      <c r="CP9" s="1">
        <v>715</v>
      </c>
      <c r="CQ9" s="1">
        <v>582</v>
      </c>
      <c r="CR9" s="1">
        <v>507</v>
      </c>
      <c r="CS9" s="1">
        <v>419</v>
      </c>
      <c r="CT9" s="1">
        <v>353</v>
      </c>
      <c r="CU9" s="1">
        <v>280</v>
      </c>
      <c r="CV9" s="1">
        <v>248</v>
      </c>
      <c r="CW9" s="1">
        <v>234</v>
      </c>
      <c r="CX9" s="1">
        <v>213</v>
      </c>
      <c r="CY9" s="1">
        <v>0</v>
      </c>
      <c r="CZ9" s="1">
        <v>0</v>
      </c>
      <c r="DA9" s="1">
        <v>0</v>
      </c>
      <c r="DB9">
        <v>32.0277174447112</v>
      </c>
      <c r="DC9">
        <v>0</v>
      </c>
      <c r="DD9">
        <v>26500</v>
      </c>
      <c r="DE9">
        <v>26980</v>
      </c>
      <c r="DF9">
        <v>27236</v>
      </c>
      <c r="DG9">
        <v>27439</v>
      </c>
      <c r="DH9">
        <v>27670</v>
      </c>
      <c r="DI9">
        <v>28774</v>
      </c>
      <c r="DJ9">
        <v>50038</v>
      </c>
      <c r="DK9">
        <v>23024</v>
      </c>
      <c r="DL9">
        <v>22918</v>
      </c>
      <c r="DM9">
        <v>22700</v>
      </c>
      <c r="DN9">
        <v>22286</v>
      </c>
      <c r="DO9">
        <v>21878</v>
      </c>
      <c r="DP9">
        <v>21462</v>
      </c>
      <c r="DQ9">
        <v>21233</v>
      </c>
      <c r="DR9">
        <v>20934</v>
      </c>
      <c r="DS9">
        <v>20802</v>
      </c>
      <c r="DT9">
        <v>20622</v>
      </c>
      <c r="DU9">
        <v>20581</v>
      </c>
      <c r="DV9">
        <v>20601</v>
      </c>
      <c r="DW9">
        <v>20919</v>
      </c>
      <c r="DX9">
        <v>21400</v>
      </c>
      <c r="DY9">
        <v>22039</v>
      </c>
      <c r="DZ9">
        <v>22572</v>
      </c>
      <c r="EA9">
        <v>22993</v>
      </c>
      <c r="EB9">
        <v>23394</v>
      </c>
      <c r="EC9">
        <v>23815</v>
      </c>
      <c r="ED9">
        <v>24246</v>
      </c>
      <c r="EE9">
        <v>24802</v>
      </c>
      <c r="EF9">
        <v>25251</v>
      </c>
      <c r="EG9">
        <v>26103</v>
      </c>
      <c r="EH9">
        <v>27141</v>
      </c>
      <c r="EI9">
        <v>28458</v>
      </c>
      <c r="EJ9">
        <v>29430</v>
      </c>
      <c r="EK9">
        <v>30124</v>
      </c>
      <c r="EL9">
        <v>30572</v>
      </c>
      <c r="EM9">
        <v>30528</v>
      </c>
      <c r="EN9">
        <v>30617</v>
      </c>
      <c r="EO9">
        <v>30532</v>
      </c>
      <c r="EP9">
        <v>30225</v>
      </c>
      <c r="EQ9">
        <v>29668</v>
      </c>
      <c r="ER9">
        <v>28727</v>
      </c>
      <c r="ES9">
        <v>27596</v>
      </c>
      <c r="ET9">
        <v>26602</v>
      </c>
      <c r="EU9">
        <v>26003</v>
      </c>
      <c r="EV9">
        <v>25116</v>
      </c>
      <c r="EW9">
        <v>24039</v>
      </c>
      <c r="EX9">
        <v>22814</v>
      </c>
      <c r="EY9">
        <v>21800</v>
      </c>
      <c r="EZ9">
        <v>20742</v>
      </c>
      <c r="FA9">
        <v>19586</v>
      </c>
      <c r="FB9">
        <v>18022</v>
      </c>
      <c r="FC9">
        <v>16095</v>
      </c>
      <c r="FD9">
        <v>14520</v>
      </c>
      <c r="FE9">
        <v>13444</v>
      </c>
      <c r="FF9">
        <v>12967</v>
      </c>
      <c r="FG9">
        <v>12672</v>
      </c>
      <c r="FH9">
        <v>12273</v>
      </c>
      <c r="FI9">
        <v>12075</v>
      </c>
      <c r="FJ9">
        <v>11864</v>
      </c>
      <c r="FK9">
        <v>11551</v>
      </c>
      <c r="FL9">
        <v>11078</v>
      </c>
      <c r="FM9">
        <v>10688</v>
      </c>
      <c r="FN9">
        <v>10299</v>
      </c>
      <c r="FO9">
        <v>10003</v>
      </c>
      <c r="FP9">
        <v>9628</v>
      </c>
      <c r="FQ9">
        <v>9189</v>
      </c>
      <c r="FR9">
        <v>8728</v>
      </c>
      <c r="FS9">
        <v>8300</v>
      </c>
      <c r="FT9">
        <v>7891</v>
      </c>
      <c r="FU9">
        <v>7494</v>
      </c>
      <c r="FV9">
        <v>6902</v>
      </c>
      <c r="FW9">
        <v>6300</v>
      </c>
      <c r="FX9">
        <v>5809</v>
      </c>
      <c r="FY9">
        <v>5470</v>
      </c>
      <c r="FZ9">
        <v>5137</v>
      </c>
      <c r="GA9">
        <v>4832</v>
      </c>
      <c r="GB9">
        <v>4399</v>
      </c>
      <c r="GC9">
        <v>4165</v>
      </c>
      <c r="GD9">
        <v>3862</v>
      </c>
      <c r="GE9">
        <v>3626</v>
      </c>
      <c r="GF9">
        <v>3299</v>
      </c>
      <c r="GG9">
        <v>2974</v>
      </c>
      <c r="GH9">
        <v>2594</v>
      </c>
      <c r="GI9">
        <v>2455</v>
      </c>
      <c r="GJ9">
        <v>2258</v>
      </c>
      <c r="GK9">
        <v>1802</v>
      </c>
      <c r="GL9">
        <v>1469</v>
      </c>
      <c r="GM9">
        <v>1161</v>
      </c>
      <c r="GN9">
        <v>1047</v>
      </c>
      <c r="GO9">
        <v>921</v>
      </c>
      <c r="GP9">
        <v>769</v>
      </c>
      <c r="GQ9">
        <v>659</v>
      </c>
      <c r="GR9">
        <v>563</v>
      </c>
      <c r="GS9">
        <v>492</v>
      </c>
      <c r="GT9">
        <v>553</v>
      </c>
      <c r="GU9">
        <v>533</v>
      </c>
      <c r="GV9">
        <v>0</v>
      </c>
      <c r="GW9">
        <v>0</v>
      </c>
      <c r="GX9">
        <v>0</v>
      </c>
      <c r="GY9">
        <v>32.8918629999161</v>
      </c>
      <c r="GZ9">
        <v>3268</v>
      </c>
      <c r="HA9">
        <v>9143</v>
      </c>
      <c r="HB9">
        <v>10105</v>
      </c>
      <c r="HC9">
        <v>4531</v>
      </c>
      <c r="HD9">
        <v>2215</v>
      </c>
      <c r="HE9">
        <v>829</v>
      </c>
      <c r="HF9">
        <v>253</v>
      </c>
      <c r="HG9">
        <v>3357</v>
      </c>
      <c r="HH9">
        <v>11353</v>
      </c>
      <c r="HI9">
        <v>15208</v>
      </c>
      <c r="HJ9">
        <v>7079</v>
      </c>
      <c r="HK9">
        <v>2992</v>
      </c>
      <c r="HL9">
        <v>970</v>
      </c>
      <c r="HM9">
        <v>263</v>
      </c>
      <c r="HN9">
        <v>69998</v>
      </c>
      <c r="HO9">
        <v>203961</v>
      </c>
      <c r="HP9">
        <v>205928</v>
      </c>
      <c r="HQ9">
        <v>124259</v>
      </c>
      <c r="HR9">
        <v>71168</v>
      </c>
      <c r="HS9">
        <v>27213</v>
      </c>
      <c r="HT9">
        <v>9962</v>
      </c>
      <c r="HU9">
        <v>170246</v>
      </c>
      <c r="HV9">
        <v>100459</v>
      </c>
      <c r="HW9">
        <v>182748</v>
      </c>
      <c r="HX9">
        <v>116345</v>
      </c>
      <c r="HY9">
        <v>65165</v>
      </c>
      <c r="HZ9">
        <v>20883</v>
      </c>
      <c r="IA9">
        <v>6355</v>
      </c>
      <c r="IB9">
        <v>173496</v>
      </c>
      <c r="IC9">
        <v>91804</v>
      </c>
      <c r="ID9">
        <v>38882</v>
      </c>
      <c r="IE9">
        <v>8606</v>
      </c>
      <c r="IF9">
        <v>8103</v>
      </c>
      <c r="IG9">
        <v>1927</v>
      </c>
      <c r="IH9">
        <v>2113</v>
      </c>
      <c r="II9">
        <v>55334</v>
      </c>
      <c r="IJ9">
        <v>179764</v>
      </c>
      <c r="IK9">
        <v>46670</v>
      </c>
      <c r="IL9">
        <v>2506</v>
      </c>
      <c r="IM9">
        <v>1767</v>
      </c>
      <c r="IN9">
        <v>941</v>
      </c>
      <c r="IO9">
        <v>229</v>
      </c>
      <c r="IP9">
        <v>185</v>
      </c>
      <c r="IQ9">
        <v>895</v>
      </c>
      <c r="IR9">
        <v>2410</v>
      </c>
      <c r="IS9">
        <v>4183</v>
      </c>
      <c r="IT9">
        <v>8747</v>
      </c>
      <c r="IU9">
        <v>14995</v>
      </c>
      <c r="IV9">
        <v>4288</v>
      </c>
      <c r="IW9">
        <v>2494</v>
      </c>
      <c r="IX9">
        <v>2154</v>
      </c>
      <c r="IY9">
        <v>8481</v>
      </c>
      <c r="IZ9">
        <v>17588</v>
      </c>
      <c r="JA9">
        <v>27431</v>
      </c>
      <c r="JB9">
        <v>31576</v>
      </c>
      <c r="JC9">
        <v>20329</v>
      </c>
    </row>
    <row r="10" spans="1:263" x14ac:dyDescent="0.3">
      <c r="A10" s="1">
        <v>1998</v>
      </c>
      <c r="B10" s="1">
        <v>3221116</v>
      </c>
      <c r="C10" s="1">
        <v>654152</v>
      </c>
      <c r="D10" s="1">
        <v>1615869</v>
      </c>
      <c r="E10" s="1">
        <v>1605247</v>
      </c>
      <c r="F10" s="1">
        <v>0</v>
      </c>
      <c r="G10" s="1">
        <v>23745</v>
      </c>
      <c r="H10" s="1">
        <v>24360</v>
      </c>
      <c r="I10" s="1">
        <v>24694</v>
      </c>
      <c r="J10" s="1">
        <v>25421</v>
      </c>
      <c r="K10" s="1">
        <v>25389</v>
      </c>
      <c r="L10" s="1">
        <v>25911</v>
      </c>
      <c r="M10" s="1">
        <v>27545</v>
      </c>
      <c r="N10" s="1">
        <v>50198</v>
      </c>
      <c r="O10" s="1">
        <v>25303</v>
      </c>
      <c r="P10" s="1">
        <v>25187</v>
      </c>
      <c r="Q10" s="1">
        <v>24771</v>
      </c>
      <c r="R10" s="1">
        <v>24502</v>
      </c>
      <c r="S10" s="1">
        <v>24066</v>
      </c>
      <c r="T10" s="1">
        <v>23760</v>
      </c>
      <c r="U10" s="1">
        <v>23415</v>
      </c>
      <c r="V10" s="1">
        <v>23157</v>
      </c>
      <c r="W10" s="1">
        <v>23005</v>
      </c>
      <c r="X10" s="1">
        <v>22730</v>
      </c>
      <c r="Y10" s="1">
        <v>22660</v>
      </c>
      <c r="Z10" s="1">
        <v>22786</v>
      </c>
      <c r="AA10" s="1">
        <v>23019</v>
      </c>
      <c r="AB10" s="1">
        <v>23379</v>
      </c>
      <c r="AC10" s="1">
        <v>24121</v>
      </c>
      <c r="AD10" s="1">
        <v>24502</v>
      </c>
      <c r="AE10" s="1">
        <v>24851</v>
      </c>
      <c r="AF10" s="1">
        <v>25245</v>
      </c>
      <c r="AG10" s="1">
        <v>25676</v>
      </c>
      <c r="AH10" s="1">
        <v>25953</v>
      </c>
      <c r="AI10" s="1">
        <v>26353</v>
      </c>
      <c r="AJ10" s="1">
        <v>26907</v>
      </c>
      <c r="AK10" s="1">
        <v>27552</v>
      </c>
      <c r="AL10" s="1">
        <v>28781</v>
      </c>
      <c r="AM10" s="1">
        <v>29891</v>
      </c>
      <c r="AN10" s="1">
        <v>31021</v>
      </c>
      <c r="AO10" s="1">
        <v>31783</v>
      </c>
      <c r="AP10" s="1">
        <v>32048</v>
      </c>
      <c r="AQ10" s="1">
        <v>32110</v>
      </c>
      <c r="AR10" s="1">
        <v>32132</v>
      </c>
      <c r="AS10" s="1">
        <v>31855</v>
      </c>
      <c r="AT10" s="1">
        <v>31354</v>
      </c>
      <c r="AU10" s="1">
        <v>30454</v>
      </c>
      <c r="AV10" s="1">
        <v>29319</v>
      </c>
      <c r="AW10" s="1">
        <v>28209</v>
      </c>
      <c r="AX10" s="1">
        <v>27248</v>
      </c>
      <c r="AY10" s="1">
        <v>26395</v>
      </c>
      <c r="AZ10" s="1">
        <v>25487</v>
      </c>
      <c r="BA10" s="1">
        <v>24380</v>
      </c>
      <c r="BB10" s="1">
        <v>23126</v>
      </c>
      <c r="BC10" s="1">
        <v>21977</v>
      </c>
      <c r="BD10" s="1">
        <v>20739</v>
      </c>
      <c r="BE10" s="1">
        <v>19430</v>
      </c>
      <c r="BF10" s="1">
        <v>17758</v>
      </c>
      <c r="BG10" s="1">
        <v>15984</v>
      </c>
      <c r="BH10" s="1">
        <v>14429</v>
      </c>
      <c r="BI10" s="1">
        <v>13374</v>
      </c>
      <c r="BJ10" s="1">
        <v>12746</v>
      </c>
      <c r="BK10" s="1">
        <v>12293</v>
      </c>
      <c r="BL10" s="1">
        <v>11918</v>
      </c>
      <c r="BM10" s="1">
        <v>11683</v>
      </c>
      <c r="BN10" s="1">
        <v>11374</v>
      </c>
      <c r="BO10" s="1">
        <v>10978</v>
      </c>
      <c r="BP10" s="1">
        <v>10426</v>
      </c>
      <c r="BQ10" s="1">
        <v>9919</v>
      </c>
      <c r="BR10" s="1">
        <v>9496</v>
      </c>
      <c r="BS10" s="1">
        <v>9074</v>
      </c>
      <c r="BT10" s="1">
        <v>8738</v>
      </c>
      <c r="BU10" s="1">
        <v>8186</v>
      </c>
      <c r="BV10" s="1">
        <v>7679</v>
      </c>
      <c r="BW10" s="1">
        <v>7287</v>
      </c>
      <c r="BX10" s="1">
        <v>6923</v>
      </c>
      <c r="BY10" s="1">
        <v>6338</v>
      </c>
      <c r="BZ10" s="1">
        <v>5738</v>
      </c>
      <c r="CA10" s="1">
        <v>5211</v>
      </c>
      <c r="CB10" s="1">
        <v>4817</v>
      </c>
      <c r="CC10" s="1">
        <v>4531</v>
      </c>
      <c r="CD10" s="1">
        <v>3993</v>
      </c>
      <c r="CE10" s="1">
        <v>3615</v>
      </c>
      <c r="CF10" s="1">
        <v>3177</v>
      </c>
      <c r="CG10" s="1">
        <v>2890</v>
      </c>
      <c r="CH10" s="1">
        <v>2621</v>
      </c>
      <c r="CI10" s="1">
        <v>2338</v>
      </c>
      <c r="CJ10" s="1">
        <v>2013</v>
      </c>
      <c r="CK10" s="1">
        <v>1714</v>
      </c>
      <c r="CL10" s="1">
        <v>1532</v>
      </c>
      <c r="CM10" s="1">
        <v>1335</v>
      </c>
      <c r="CN10" s="1">
        <v>1169</v>
      </c>
      <c r="CO10" s="1">
        <v>910</v>
      </c>
      <c r="CP10" s="1">
        <v>712</v>
      </c>
      <c r="CQ10" s="1">
        <v>608</v>
      </c>
      <c r="CR10" s="1">
        <v>484</v>
      </c>
      <c r="CS10" s="1">
        <v>442</v>
      </c>
      <c r="CT10" s="1">
        <v>368</v>
      </c>
      <c r="CU10" s="1">
        <v>306</v>
      </c>
      <c r="CV10" s="1">
        <v>240</v>
      </c>
      <c r="CW10" s="1">
        <v>212</v>
      </c>
      <c r="CX10" s="1">
        <v>205</v>
      </c>
      <c r="CY10" s="1">
        <v>183</v>
      </c>
      <c r="CZ10" s="1">
        <v>0</v>
      </c>
      <c r="DA10" s="1">
        <v>0</v>
      </c>
      <c r="DB10">
        <v>32.329475966182898</v>
      </c>
      <c r="DC10">
        <v>0</v>
      </c>
      <c r="DD10">
        <v>25836</v>
      </c>
      <c r="DE10">
        <v>26524</v>
      </c>
      <c r="DF10">
        <v>27027</v>
      </c>
      <c r="DG10">
        <v>27296</v>
      </c>
      <c r="DH10">
        <v>27543</v>
      </c>
      <c r="DI10">
        <v>27828</v>
      </c>
      <c r="DJ10">
        <v>29118</v>
      </c>
      <c r="DK10">
        <v>50242</v>
      </c>
      <c r="DL10">
        <v>23227</v>
      </c>
      <c r="DM10">
        <v>23126</v>
      </c>
      <c r="DN10">
        <v>22911</v>
      </c>
      <c r="DO10">
        <v>22501</v>
      </c>
      <c r="DP10">
        <v>22093</v>
      </c>
      <c r="DQ10">
        <v>21658</v>
      </c>
      <c r="DR10">
        <v>21444</v>
      </c>
      <c r="DS10">
        <v>21139</v>
      </c>
      <c r="DT10">
        <v>20988</v>
      </c>
      <c r="DU10">
        <v>20842</v>
      </c>
      <c r="DV10">
        <v>20793</v>
      </c>
      <c r="DW10">
        <v>20785</v>
      </c>
      <c r="DX10">
        <v>21139</v>
      </c>
      <c r="DY10">
        <v>21599</v>
      </c>
      <c r="DZ10">
        <v>22249</v>
      </c>
      <c r="EA10">
        <v>22825</v>
      </c>
      <c r="EB10">
        <v>23214</v>
      </c>
      <c r="EC10">
        <v>23619</v>
      </c>
      <c r="ED10">
        <v>24063</v>
      </c>
      <c r="EE10">
        <v>24487</v>
      </c>
      <c r="EF10">
        <v>25022</v>
      </c>
      <c r="EG10">
        <v>25471</v>
      </c>
      <c r="EH10">
        <v>26318</v>
      </c>
      <c r="EI10">
        <v>27409</v>
      </c>
      <c r="EJ10">
        <v>28770</v>
      </c>
      <c r="EK10">
        <v>29653</v>
      </c>
      <c r="EL10">
        <v>30398</v>
      </c>
      <c r="EM10">
        <v>30706</v>
      </c>
      <c r="EN10">
        <v>30685</v>
      </c>
      <c r="EO10">
        <v>30754</v>
      </c>
      <c r="EP10">
        <v>30695</v>
      </c>
      <c r="EQ10">
        <v>30389</v>
      </c>
      <c r="ER10">
        <v>29801</v>
      </c>
      <c r="ES10">
        <v>28861</v>
      </c>
      <c r="ET10">
        <v>27753</v>
      </c>
      <c r="EU10">
        <v>26744</v>
      </c>
      <c r="EV10">
        <v>26130</v>
      </c>
      <c r="EW10">
        <v>25216</v>
      </c>
      <c r="EX10">
        <v>24121</v>
      </c>
      <c r="EY10">
        <v>22905</v>
      </c>
      <c r="EZ10">
        <v>21907</v>
      </c>
      <c r="FA10">
        <v>20839</v>
      </c>
      <c r="FB10">
        <v>19641</v>
      </c>
      <c r="FC10">
        <v>18075</v>
      </c>
      <c r="FD10">
        <v>16152</v>
      </c>
      <c r="FE10">
        <v>14575</v>
      </c>
      <c r="FF10">
        <v>13498</v>
      </c>
      <c r="FG10">
        <v>13000</v>
      </c>
      <c r="FH10">
        <v>12686</v>
      </c>
      <c r="FI10">
        <v>12272</v>
      </c>
      <c r="FJ10">
        <v>12080</v>
      </c>
      <c r="FK10">
        <v>11874</v>
      </c>
      <c r="FL10">
        <v>11525</v>
      </c>
      <c r="FM10">
        <v>11062</v>
      </c>
      <c r="FN10">
        <v>10670</v>
      </c>
      <c r="FO10">
        <v>10281</v>
      </c>
      <c r="FP10">
        <v>9983</v>
      </c>
      <c r="FQ10">
        <v>9534</v>
      </c>
      <c r="FR10">
        <v>9121</v>
      </c>
      <c r="FS10">
        <v>8675</v>
      </c>
      <c r="FT10">
        <v>8238</v>
      </c>
      <c r="FU10">
        <v>7809</v>
      </c>
      <c r="FV10">
        <v>7393</v>
      </c>
      <c r="FW10">
        <v>6805</v>
      </c>
      <c r="FX10">
        <v>6194</v>
      </c>
      <c r="FY10">
        <v>5696</v>
      </c>
      <c r="FZ10">
        <v>5361</v>
      </c>
      <c r="GA10">
        <v>4976</v>
      </c>
      <c r="GB10">
        <v>4663</v>
      </c>
      <c r="GC10">
        <v>4284</v>
      </c>
      <c r="GD10">
        <v>4017</v>
      </c>
      <c r="GE10">
        <v>3721</v>
      </c>
      <c r="GF10">
        <v>3400</v>
      </c>
      <c r="GG10">
        <v>3104</v>
      </c>
      <c r="GH10">
        <v>2797</v>
      </c>
      <c r="GI10">
        <v>2428</v>
      </c>
      <c r="GJ10">
        <v>2298</v>
      </c>
      <c r="GK10">
        <v>1972</v>
      </c>
      <c r="GL10">
        <v>1577</v>
      </c>
      <c r="GM10">
        <v>1282</v>
      </c>
      <c r="GN10">
        <v>1026</v>
      </c>
      <c r="GO10">
        <v>919</v>
      </c>
      <c r="GP10">
        <v>818</v>
      </c>
      <c r="GQ10">
        <v>669</v>
      </c>
      <c r="GR10">
        <v>581</v>
      </c>
      <c r="GS10">
        <v>497</v>
      </c>
      <c r="GT10">
        <v>422</v>
      </c>
      <c r="GU10">
        <v>480</v>
      </c>
      <c r="GV10">
        <v>452</v>
      </c>
      <c r="GW10">
        <v>0</v>
      </c>
      <c r="GX10">
        <v>0</v>
      </c>
      <c r="GY10">
        <v>33.1944462094906</v>
      </c>
      <c r="GZ10">
        <v>3298</v>
      </c>
      <c r="HA10">
        <v>9600</v>
      </c>
      <c r="HB10">
        <v>11426</v>
      </c>
      <c r="HC10">
        <v>5148</v>
      </c>
      <c r="HD10">
        <v>2476</v>
      </c>
      <c r="HE10">
        <v>944</v>
      </c>
      <c r="HF10">
        <v>285</v>
      </c>
      <c r="HG10">
        <v>2945</v>
      </c>
      <c r="HH10">
        <v>11135</v>
      </c>
      <c r="HI10">
        <v>17071</v>
      </c>
      <c r="HJ10">
        <v>8018</v>
      </c>
      <c r="HK10">
        <v>3393</v>
      </c>
      <c r="HL10">
        <v>1106</v>
      </c>
      <c r="HM10">
        <v>304</v>
      </c>
      <c r="HN10">
        <v>67151</v>
      </c>
      <c r="HO10">
        <v>203431</v>
      </c>
      <c r="HP10">
        <v>214401</v>
      </c>
      <c r="HQ10">
        <v>130017</v>
      </c>
      <c r="HR10">
        <v>74053</v>
      </c>
      <c r="HS10">
        <v>27750</v>
      </c>
      <c r="HT10">
        <v>10573</v>
      </c>
      <c r="HU10">
        <v>191568</v>
      </c>
      <c r="HV10">
        <v>89685</v>
      </c>
      <c r="HW10">
        <v>183636</v>
      </c>
      <c r="HX10">
        <v>121421</v>
      </c>
      <c r="HY10">
        <v>68128</v>
      </c>
      <c r="HZ10">
        <v>22913</v>
      </c>
      <c r="IA10">
        <v>6378</v>
      </c>
      <c r="IB10">
        <v>175291</v>
      </c>
      <c r="IC10">
        <v>90310</v>
      </c>
      <c r="ID10">
        <v>39678</v>
      </c>
      <c r="IE10">
        <v>11009</v>
      </c>
      <c r="IF10">
        <v>7971</v>
      </c>
      <c r="IG10">
        <v>2636</v>
      </c>
      <c r="IH10">
        <v>2036</v>
      </c>
      <c r="II10">
        <v>32063</v>
      </c>
      <c r="IJ10">
        <v>187763</v>
      </c>
      <c r="IK10">
        <v>57026</v>
      </c>
      <c r="IL10">
        <v>3554</v>
      </c>
      <c r="IM10">
        <v>2224</v>
      </c>
      <c r="IN10">
        <v>1215</v>
      </c>
      <c r="IO10">
        <v>312</v>
      </c>
      <c r="IP10">
        <v>145</v>
      </c>
      <c r="IQ10">
        <v>739</v>
      </c>
      <c r="IR10">
        <v>2444</v>
      </c>
      <c r="IS10">
        <v>4180</v>
      </c>
      <c r="IT10">
        <v>8657</v>
      </c>
      <c r="IU10">
        <v>15903</v>
      </c>
      <c r="IV10">
        <v>4498</v>
      </c>
      <c r="IW10">
        <v>2426</v>
      </c>
      <c r="IX10">
        <v>2276</v>
      </c>
      <c r="IY10">
        <v>6094</v>
      </c>
      <c r="IZ10">
        <v>19825</v>
      </c>
      <c r="JA10">
        <v>27218</v>
      </c>
      <c r="JB10">
        <v>31964</v>
      </c>
      <c r="JC10">
        <v>21450</v>
      </c>
    </row>
    <row r="11" spans="1:263" x14ac:dyDescent="0.3">
      <c r="A11" s="1">
        <v>1999</v>
      </c>
      <c r="B11" s="1">
        <v>3278084</v>
      </c>
      <c r="C11" s="1">
        <v>673177</v>
      </c>
      <c r="D11" s="1">
        <v>1643482</v>
      </c>
      <c r="E11" s="1">
        <v>1634602</v>
      </c>
      <c r="F11" s="1">
        <v>0</v>
      </c>
      <c r="G11" s="1">
        <v>23594</v>
      </c>
      <c r="H11" s="1">
        <v>23777</v>
      </c>
      <c r="I11" s="1">
        <v>24417</v>
      </c>
      <c r="J11" s="1">
        <v>24791</v>
      </c>
      <c r="K11" s="1">
        <v>25555</v>
      </c>
      <c r="L11" s="1">
        <v>25541</v>
      </c>
      <c r="M11" s="1">
        <v>26143</v>
      </c>
      <c r="N11" s="1">
        <v>28083</v>
      </c>
      <c r="O11" s="1">
        <v>50504</v>
      </c>
      <c r="P11" s="1">
        <v>25604</v>
      </c>
      <c r="Q11" s="1">
        <v>25485</v>
      </c>
      <c r="R11" s="1">
        <v>25051</v>
      </c>
      <c r="S11" s="1">
        <v>24792</v>
      </c>
      <c r="T11" s="1">
        <v>24327</v>
      </c>
      <c r="U11" s="1">
        <v>24010</v>
      </c>
      <c r="V11" s="1">
        <v>23702</v>
      </c>
      <c r="W11" s="1">
        <v>23429</v>
      </c>
      <c r="X11" s="1">
        <v>23272</v>
      </c>
      <c r="Y11" s="1">
        <v>22984</v>
      </c>
      <c r="Z11" s="1">
        <v>22941</v>
      </c>
      <c r="AA11" s="1">
        <v>23040</v>
      </c>
      <c r="AB11" s="1">
        <v>23291</v>
      </c>
      <c r="AC11" s="1">
        <v>23698</v>
      </c>
      <c r="AD11" s="1">
        <v>24416</v>
      </c>
      <c r="AE11" s="1">
        <v>24765</v>
      </c>
      <c r="AF11" s="1">
        <v>25160</v>
      </c>
      <c r="AG11" s="1">
        <v>25556</v>
      </c>
      <c r="AH11" s="1">
        <v>25972</v>
      </c>
      <c r="AI11" s="1">
        <v>26259</v>
      </c>
      <c r="AJ11" s="1">
        <v>26663</v>
      </c>
      <c r="AK11" s="1">
        <v>27210</v>
      </c>
      <c r="AL11" s="1">
        <v>27855</v>
      </c>
      <c r="AM11" s="1">
        <v>29131</v>
      </c>
      <c r="AN11" s="1">
        <v>30224</v>
      </c>
      <c r="AO11" s="1">
        <v>31385</v>
      </c>
      <c r="AP11" s="1">
        <v>32036</v>
      </c>
      <c r="AQ11" s="1">
        <v>32263</v>
      </c>
      <c r="AR11" s="1">
        <v>32295</v>
      </c>
      <c r="AS11" s="1">
        <v>32300</v>
      </c>
      <c r="AT11" s="1">
        <v>31993</v>
      </c>
      <c r="AU11" s="1">
        <v>31438</v>
      </c>
      <c r="AV11" s="1">
        <v>30477</v>
      </c>
      <c r="AW11" s="1">
        <v>29330</v>
      </c>
      <c r="AX11" s="1">
        <v>28220</v>
      </c>
      <c r="AY11" s="1">
        <v>27266</v>
      </c>
      <c r="AZ11" s="1">
        <v>26366</v>
      </c>
      <c r="BA11" s="1">
        <v>25452</v>
      </c>
      <c r="BB11" s="1">
        <v>24374</v>
      </c>
      <c r="BC11" s="1">
        <v>23103</v>
      </c>
      <c r="BD11" s="1">
        <v>21966</v>
      </c>
      <c r="BE11" s="1">
        <v>20678</v>
      </c>
      <c r="BF11" s="1">
        <v>19351</v>
      </c>
      <c r="BG11" s="1">
        <v>17696</v>
      </c>
      <c r="BH11" s="1">
        <v>15945</v>
      </c>
      <c r="BI11" s="1">
        <v>14396</v>
      </c>
      <c r="BJ11" s="1">
        <v>13274</v>
      </c>
      <c r="BK11" s="1">
        <v>12667</v>
      </c>
      <c r="BL11" s="1">
        <v>12210</v>
      </c>
      <c r="BM11" s="1">
        <v>11851</v>
      </c>
      <c r="BN11" s="1">
        <v>11604</v>
      </c>
      <c r="BO11" s="1">
        <v>11231</v>
      </c>
      <c r="BP11" s="1">
        <v>10827</v>
      </c>
      <c r="BQ11" s="1">
        <v>10277</v>
      </c>
      <c r="BR11" s="1">
        <v>9784</v>
      </c>
      <c r="BS11" s="1">
        <v>9353</v>
      </c>
      <c r="BT11" s="1">
        <v>8876</v>
      </c>
      <c r="BU11" s="1">
        <v>8565</v>
      </c>
      <c r="BV11" s="1">
        <v>8022</v>
      </c>
      <c r="BW11" s="1">
        <v>7513</v>
      </c>
      <c r="BX11" s="1">
        <v>7124</v>
      </c>
      <c r="BY11" s="1">
        <v>6691</v>
      </c>
      <c r="BZ11" s="1">
        <v>6118</v>
      </c>
      <c r="CA11" s="1">
        <v>5536</v>
      </c>
      <c r="CB11" s="1">
        <v>4997</v>
      </c>
      <c r="CC11" s="1">
        <v>4666</v>
      </c>
      <c r="CD11" s="1">
        <v>4277</v>
      </c>
      <c r="CE11" s="1">
        <v>3782</v>
      </c>
      <c r="CF11" s="1">
        <v>3418</v>
      </c>
      <c r="CG11" s="1">
        <v>3002</v>
      </c>
      <c r="CH11" s="1">
        <v>2747</v>
      </c>
      <c r="CI11" s="1">
        <v>2399</v>
      </c>
      <c r="CJ11" s="1">
        <v>2151</v>
      </c>
      <c r="CK11" s="1">
        <v>1838</v>
      </c>
      <c r="CL11" s="1">
        <v>1549</v>
      </c>
      <c r="CM11" s="1">
        <v>1392</v>
      </c>
      <c r="CN11" s="1">
        <v>1138</v>
      </c>
      <c r="CO11" s="1">
        <v>1029</v>
      </c>
      <c r="CP11" s="1">
        <v>783</v>
      </c>
      <c r="CQ11" s="1">
        <v>608</v>
      </c>
      <c r="CR11" s="1">
        <v>518</v>
      </c>
      <c r="CS11" s="1">
        <v>410</v>
      </c>
      <c r="CT11" s="1">
        <v>374</v>
      </c>
      <c r="CU11" s="1">
        <v>319</v>
      </c>
      <c r="CV11" s="1">
        <v>261</v>
      </c>
      <c r="CW11" s="1">
        <v>206</v>
      </c>
      <c r="CX11" s="1">
        <v>186</v>
      </c>
      <c r="CY11" s="1">
        <v>173</v>
      </c>
      <c r="CZ11" s="1">
        <v>164</v>
      </c>
      <c r="DA11" s="1">
        <v>0</v>
      </c>
      <c r="DB11">
        <v>32.642217560034098</v>
      </c>
      <c r="DC11">
        <v>0</v>
      </c>
      <c r="DD11">
        <v>25246</v>
      </c>
      <c r="DE11">
        <v>25844</v>
      </c>
      <c r="DF11">
        <v>26555</v>
      </c>
      <c r="DG11">
        <v>27079</v>
      </c>
      <c r="DH11">
        <v>27387</v>
      </c>
      <c r="DI11">
        <v>27648</v>
      </c>
      <c r="DJ11">
        <v>27975</v>
      </c>
      <c r="DK11">
        <v>29425</v>
      </c>
      <c r="DL11">
        <v>50450</v>
      </c>
      <c r="DM11">
        <v>23455</v>
      </c>
      <c r="DN11">
        <v>23327</v>
      </c>
      <c r="DO11">
        <v>23114</v>
      </c>
      <c r="DP11">
        <v>22693</v>
      </c>
      <c r="DQ11">
        <v>22305</v>
      </c>
      <c r="DR11">
        <v>21832</v>
      </c>
      <c r="DS11">
        <v>21634</v>
      </c>
      <c r="DT11">
        <v>21342</v>
      </c>
      <c r="DU11">
        <v>21159</v>
      </c>
      <c r="DV11">
        <v>21015</v>
      </c>
      <c r="DW11">
        <v>20981</v>
      </c>
      <c r="DX11">
        <v>20970</v>
      </c>
      <c r="DY11">
        <v>21318</v>
      </c>
      <c r="DZ11">
        <v>21794</v>
      </c>
      <c r="EA11">
        <v>22446</v>
      </c>
      <c r="EB11">
        <v>23021</v>
      </c>
      <c r="EC11">
        <v>23415</v>
      </c>
      <c r="ED11">
        <v>23834</v>
      </c>
      <c r="EE11">
        <v>24288</v>
      </c>
      <c r="EF11">
        <v>24692</v>
      </c>
      <c r="EG11">
        <v>25227</v>
      </c>
      <c r="EH11">
        <v>25689</v>
      </c>
      <c r="EI11">
        <v>26550</v>
      </c>
      <c r="EJ11">
        <v>27697</v>
      </c>
      <c r="EK11">
        <v>29036</v>
      </c>
      <c r="EL11">
        <v>29959</v>
      </c>
      <c r="EM11">
        <v>30524</v>
      </c>
      <c r="EN11">
        <v>30846</v>
      </c>
      <c r="EO11">
        <v>30827</v>
      </c>
      <c r="EP11">
        <v>30892</v>
      </c>
      <c r="EQ11">
        <v>30841</v>
      </c>
      <c r="ER11">
        <v>30529</v>
      </c>
      <c r="ES11">
        <v>29938</v>
      </c>
      <c r="ET11">
        <v>28981</v>
      </c>
      <c r="EU11">
        <v>27870</v>
      </c>
      <c r="EV11">
        <v>26862</v>
      </c>
      <c r="EW11">
        <v>26235</v>
      </c>
      <c r="EX11">
        <v>25299</v>
      </c>
      <c r="EY11">
        <v>24174</v>
      </c>
      <c r="EZ11">
        <v>23004</v>
      </c>
      <c r="FA11">
        <v>21991</v>
      </c>
      <c r="FB11">
        <v>20892</v>
      </c>
      <c r="FC11">
        <v>19699</v>
      </c>
      <c r="FD11">
        <v>18107</v>
      </c>
      <c r="FE11">
        <v>16178</v>
      </c>
      <c r="FF11">
        <v>14620</v>
      </c>
      <c r="FG11">
        <v>13501</v>
      </c>
      <c r="FH11">
        <v>13021</v>
      </c>
      <c r="FI11">
        <v>12694</v>
      </c>
      <c r="FJ11">
        <v>12287</v>
      </c>
      <c r="FK11">
        <v>12106</v>
      </c>
      <c r="FL11">
        <v>11845</v>
      </c>
      <c r="FM11">
        <v>11510</v>
      </c>
      <c r="FN11">
        <v>11044</v>
      </c>
      <c r="FO11">
        <v>10645</v>
      </c>
      <c r="FP11">
        <v>10260</v>
      </c>
      <c r="FQ11">
        <v>9909</v>
      </c>
      <c r="FR11">
        <v>9466</v>
      </c>
      <c r="FS11">
        <v>9056</v>
      </c>
      <c r="FT11">
        <v>8598</v>
      </c>
      <c r="FU11">
        <v>8168</v>
      </c>
      <c r="FV11">
        <v>7651</v>
      </c>
      <c r="FW11">
        <v>7274</v>
      </c>
      <c r="FX11">
        <v>6683</v>
      </c>
      <c r="FY11">
        <v>6080</v>
      </c>
      <c r="FZ11">
        <v>5579</v>
      </c>
      <c r="GA11">
        <v>5201</v>
      </c>
      <c r="GB11">
        <v>4811</v>
      </c>
      <c r="GC11">
        <v>4489</v>
      </c>
      <c r="GD11">
        <v>4147</v>
      </c>
      <c r="GE11">
        <v>3875</v>
      </c>
      <c r="GF11">
        <v>3519</v>
      </c>
      <c r="GG11">
        <v>3199</v>
      </c>
      <c r="GH11">
        <v>2939</v>
      </c>
      <c r="GI11">
        <v>2638</v>
      </c>
      <c r="GJ11">
        <v>2293</v>
      </c>
      <c r="GK11">
        <v>2007</v>
      </c>
      <c r="GL11">
        <v>1737</v>
      </c>
      <c r="GM11">
        <v>1374</v>
      </c>
      <c r="GN11">
        <v>1134</v>
      </c>
      <c r="GO11">
        <v>875</v>
      </c>
      <c r="GP11">
        <v>814</v>
      </c>
      <c r="GQ11">
        <v>727</v>
      </c>
      <c r="GR11">
        <v>587</v>
      </c>
      <c r="GS11">
        <v>520</v>
      </c>
      <c r="GT11">
        <v>428</v>
      </c>
      <c r="GU11">
        <v>372</v>
      </c>
      <c r="GV11">
        <v>428</v>
      </c>
      <c r="GW11">
        <v>399</v>
      </c>
      <c r="GX11">
        <v>0</v>
      </c>
      <c r="GY11">
        <v>33.516754853324997</v>
      </c>
      <c r="GZ11">
        <v>3249</v>
      </c>
      <c r="HA11">
        <v>9970</v>
      </c>
      <c r="HB11">
        <v>12632</v>
      </c>
      <c r="HC11">
        <v>5896</v>
      </c>
      <c r="HD11">
        <v>2729</v>
      </c>
      <c r="HE11">
        <v>1083</v>
      </c>
      <c r="HF11">
        <v>344</v>
      </c>
      <c r="HG11">
        <v>1511</v>
      </c>
      <c r="HH11">
        <v>11616</v>
      </c>
      <c r="HI11">
        <v>18883</v>
      </c>
      <c r="HJ11">
        <v>9143</v>
      </c>
      <c r="HK11">
        <v>3787</v>
      </c>
      <c r="HL11">
        <v>1274</v>
      </c>
      <c r="HM11">
        <v>360</v>
      </c>
      <c r="HN11">
        <v>64452</v>
      </c>
      <c r="HO11">
        <v>201811</v>
      </c>
      <c r="HP11">
        <v>222897</v>
      </c>
      <c r="HQ11">
        <v>136059</v>
      </c>
      <c r="HR11">
        <v>77010</v>
      </c>
      <c r="HS11">
        <v>29426</v>
      </c>
      <c r="HT11">
        <v>10215</v>
      </c>
      <c r="HU11">
        <v>200511</v>
      </c>
      <c r="HV11">
        <v>92125</v>
      </c>
      <c r="HW11">
        <v>184239</v>
      </c>
      <c r="HX11">
        <v>125379</v>
      </c>
      <c r="HY11">
        <v>70830</v>
      </c>
      <c r="HZ11">
        <v>25095</v>
      </c>
      <c r="IA11">
        <v>6402</v>
      </c>
      <c r="IB11">
        <v>177270</v>
      </c>
      <c r="IC11">
        <v>88916</v>
      </c>
      <c r="ID11">
        <v>40088</v>
      </c>
      <c r="IE11">
        <v>13868</v>
      </c>
      <c r="IF11">
        <v>7634</v>
      </c>
      <c r="IG11">
        <v>3427</v>
      </c>
      <c r="IH11">
        <v>1826</v>
      </c>
      <c r="II11">
        <v>23371</v>
      </c>
      <c r="IJ11">
        <v>180157</v>
      </c>
      <c r="IK11">
        <v>64658</v>
      </c>
      <c r="IL11">
        <v>8686</v>
      </c>
      <c r="IM11">
        <v>2694</v>
      </c>
      <c r="IN11">
        <v>1544</v>
      </c>
      <c r="IO11">
        <v>432</v>
      </c>
      <c r="IP11">
        <v>127</v>
      </c>
      <c r="IQ11">
        <v>665</v>
      </c>
      <c r="IR11">
        <v>2402</v>
      </c>
      <c r="IS11">
        <v>4211</v>
      </c>
      <c r="IT11">
        <v>8679</v>
      </c>
      <c r="IU11">
        <v>15675</v>
      </c>
      <c r="IV11">
        <v>5860</v>
      </c>
      <c r="IW11">
        <v>1366</v>
      </c>
      <c r="IX11">
        <v>3349</v>
      </c>
      <c r="IY11">
        <v>5953</v>
      </c>
      <c r="IZ11">
        <v>19782</v>
      </c>
      <c r="JA11">
        <v>27128</v>
      </c>
      <c r="JB11">
        <v>32170</v>
      </c>
      <c r="JC11">
        <v>22672</v>
      </c>
    </row>
    <row r="12" spans="1:263" ht="13.2" customHeight="1" x14ac:dyDescent="0.3">
      <c r="A12" s="1">
        <v>2000</v>
      </c>
      <c r="B12" s="1">
        <v>3331728</v>
      </c>
      <c r="C12" s="1">
        <v>688062</v>
      </c>
      <c r="D12" s="1">
        <v>1669444</v>
      </c>
      <c r="E12" s="1">
        <v>1662284</v>
      </c>
      <c r="F12" s="1">
        <v>0</v>
      </c>
      <c r="G12" s="1">
        <v>22562</v>
      </c>
      <c r="H12" s="1">
        <v>23613</v>
      </c>
      <c r="I12" s="1">
        <v>23807</v>
      </c>
      <c r="J12" s="1">
        <v>24494</v>
      </c>
      <c r="K12" s="1">
        <v>24898</v>
      </c>
      <c r="L12" s="1">
        <v>25677</v>
      </c>
      <c r="M12" s="1">
        <v>25724</v>
      </c>
      <c r="N12" s="1">
        <v>26356</v>
      </c>
      <c r="O12" s="1">
        <v>28571</v>
      </c>
      <c r="P12" s="1">
        <v>50809</v>
      </c>
      <c r="Q12" s="1">
        <v>25921</v>
      </c>
      <c r="R12" s="1">
        <v>25777</v>
      </c>
      <c r="S12" s="1">
        <v>25306</v>
      </c>
      <c r="T12" s="1">
        <v>25061</v>
      </c>
      <c r="U12" s="1">
        <v>24607</v>
      </c>
      <c r="V12" s="1">
        <v>24292</v>
      </c>
      <c r="W12" s="1">
        <v>23949</v>
      </c>
      <c r="X12" s="1">
        <v>23724</v>
      </c>
      <c r="Y12" s="1">
        <v>23528</v>
      </c>
      <c r="Z12" s="1">
        <v>23245</v>
      </c>
      <c r="AA12" s="1">
        <v>23181</v>
      </c>
      <c r="AB12" s="1">
        <v>23287</v>
      </c>
      <c r="AC12" s="1">
        <v>23602</v>
      </c>
      <c r="AD12" s="1">
        <v>23945</v>
      </c>
      <c r="AE12" s="1">
        <v>24682</v>
      </c>
      <c r="AF12" s="1">
        <v>25058</v>
      </c>
      <c r="AG12" s="1">
        <v>25462</v>
      </c>
      <c r="AH12" s="1">
        <v>25847</v>
      </c>
      <c r="AI12" s="1">
        <v>26273</v>
      </c>
      <c r="AJ12" s="1">
        <v>26591</v>
      </c>
      <c r="AK12" s="1">
        <v>26974</v>
      </c>
      <c r="AL12" s="1">
        <v>27524</v>
      </c>
      <c r="AM12" s="1">
        <v>28178</v>
      </c>
      <c r="AN12" s="1">
        <v>29479</v>
      </c>
      <c r="AO12" s="1">
        <v>30539</v>
      </c>
      <c r="AP12" s="1">
        <v>31644</v>
      </c>
      <c r="AQ12" s="1">
        <v>32256</v>
      </c>
      <c r="AR12" s="1">
        <v>32477</v>
      </c>
      <c r="AS12" s="1">
        <v>32448</v>
      </c>
      <c r="AT12" s="1">
        <v>32449</v>
      </c>
      <c r="AU12" s="1">
        <v>32069</v>
      </c>
      <c r="AV12" s="1">
        <v>31483</v>
      </c>
      <c r="AW12" s="1">
        <v>30499</v>
      </c>
      <c r="AX12" s="1">
        <v>29327</v>
      </c>
      <c r="AY12" s="1">
        <v>28225</v>
      </c>
      <c r="AZ12" s="1">
        <v>27227</v>
      </c>
      <c r="BA12" s="1">
        <v>26326</v>
      </c>
      <c r="BB12" s="1">
        <v>25422</v>
      </c>
      <c r="BC12" s="1">
        <v>24343</v>
      </c>
      <c r="BD12" s="1">
        <v>23076</v>
      </c>
      <c r="BE12" s="1">
        <v>21896</v>
      </c>
      <c r="BF12" s="1">
        <v>20627</v>
      </c>
      <c r="BG12" s="1">
        <v>19302</v>
      </c>
      <c r="BH12" s="1">
        <v>17643</v>
      </c>
      <c r="BI12" s="1">
        <v>15874</v>
      </c>
      <c r="BJ12" s="1">
        <v>14296</v>
      </c>
      <c r="BK12" s="1">
        <v>13205</v>
      </c>
      <c r="BL12" s="1">
        <v>12590</v>
      </c>
      <c r="BM12" s="1">
        <v>12135</v>
      </c>
      <c r="BN12" s="1">
        <v>11772</v>
      </c>
      <c r="BO12" s="1">
        <v>11441</v>
      </c>
      <c r="BP12" s="1">
        <v>11109</v>
      </c>
      <c r="BQ12" s="1">
        <v>10674</v>
      </c>
      <c r="BR12" s="1">
        <v>10141</v>
      </c>
      <c r="BS12" s="1">
        <v>9664</v>
      </c>
      <c r="BT12" s="1">
        <v>9154</v>
      </c>
      <c r="BU12" s="1">
        <v>8679</v>
      </c>
      <c r="BV12" s="1">
        <v>8366</v>
      </c>
      <c r="BW12" s="1">
        <v>7834</v>
      </c>
      <c r="BX12" s="1">
        <v>7352</v>
      </c>
      <c r="BY12" s="1">
        <v>6909</v>
      </c>
      <c r="BZ12" s="1">
        <v>6505</v>
      </c>
      <c r="CA12" s="1">
        <v>5937</v>
      </c>
      <c r="CB12" s="1">
        <v>5354</v>
      </c>
      <c r="CC12" s="1">
        <v>4831</v>
      </c>
      <c r="CD12" s="1">
        <v>4405</v>
      </c>
      <c r="CE12" s="1">
        <v>4025</v>
      </c>
      <c r="CF12" s="1">
        <v>3578</v>
      </c>
      <c r="CG12" s="1">
        <v>3235</v>
      </c>
      <c r="CH12" s="1">
        <v>2842</v>
      </c>
      <c r="CI12" s="1">
        <v>2501</v>
      </c>
      <c r="CJ12" s="1">
        <v>2209</v>
      </c>
      <c r="CK12" s="1">
        <v>1958</v>
      </c>
      <c r="CL12" s="1">
        <v>1672</v>
      </c>
      <c r="CM12" s="1">
        <v>1416</v>
      </c>
      <c r="CN12" s="1">
        <v>1196</v>
      </c>
      <c r="CO12" s="1">
        <v>975</v>
      </c>
      <c r="CP12" s="1">
        <v>876</v>
      </c>
      <c r="CQ12" s="1">
        <v>666</v>
      </c>
      <c r="CR12" s="1">
        <v>529</v>
      </c>
      <c r="CS12" s="1">
        <v>446</v>
      </c>
      <c r="CT12" s="1">
        <v>366</v>
      </c>
      <c r="CU12" s="1">
        <v>321</v>
      </c>
      <c r="CV12" s="1">
        <v>279</v>
      </c>
      <c r="CW12" s="1">
        <v>218</v>
      </c>
      <c r="CX12" s="1">
        <v>177</v>
      </c>
      <c r="CY12" s="1">
        <v>159</v>
      </c>
      <c r="CZ12" s="1">
        <v>147</v>
      </c>
      <c r="DA12" s="1">
        <v>144</v>
      </c>
      <c r="DB12">
        <v>32.9811871497336</v>
      </c>
      <c r="DC12">
        <v>0</v>
      </c>
      <c r="DD12">
        <v>24376</v>
      </c>
      <c r="DE12">
        <v>25256</v>
      </c>
      <c r="DF12">
        <v>25868</v>
      </c>
      <c r="DG12">
        <v>26613</v>
      </c>
      <c r="DH12">
        <v>27144</v>
      </c>
      <c r="DI12">
        <v>27479</v>
      </c>
      <c r="DJ12">
        <v>27769</v>
      </c>
      <c r="DK12">
        <v>28100</v>
      </c>
      <c r="DL12">
        <v>29756</v>
      </c>
      <c r="DM12">
        <v>50640</v>
      </c>
      <c r="DN12">
        <v>23644</v>
      </c>
      <c r="DO12">
        <v>23513</v>
      </c>
      <c r="DP12">
        <v>23319</v>
      </c>
      <c r="DQ12">
        <v>22887</v>
      </c>
      <c r="DR12">
        <v>22512</v>
      </c>
      <c r="DS12">
        <v>22037</v>
      </c>
      <c r="DT12">
        <v>21801</v>
      </c>
      <c r="DU12">
        <v>21518</v>
      </c>
      <c r="DV12">
        <v>21318</v>
      </c>
      <c r="DW12">
        <v>21182</v>
      </c>
      <c r="DX12">
        <v>21175</v>
      </c>
      <c r="DY12">
        <v>21142</v>
      </c>
      <c r="DZ12">
        <v>21482</v>
      </c>
      <c r="EA12">
        <v>21983</v>
      </c>
      <c r="EB12">
        <v>22625</v>
      </c>
      <c r="EC12">
        <v>23217</v>
      </c>
      <c r="ED12">
        <v>23589</v>
      </c>
      <c r="EE12">
        <v>24024</v>
      </c>
      <c r="EF12">
        <v>24487</v>
      </c>
      <c r="EG12">
        <v>24879</v>
      </c>
      <c r="EH12">
        <v>25449</v>
      </c>
      <c r="EI12">
        <v>25895</v>
      </c>
      <c r="EJ12">
        <v>26787</v>
      </c>
      <c r="EK12">
        <v>27941</v>
      </c>
      <c r="EL12">
        <v>29284</v>
      </c>
      <c r="EM12">
        <v>30082</v>
      </c>
      <c r="EN12">
        <v>30643</v>
      </c>
      <c r="EO12">
        <v>30968</v>
      </c>
      <c r="EP12">
        <v>30965</v>
      </c>
      <c r="EQ12">
        <v>31023</v>
      </c>
      <c r="ER12">
        <v>30941</v>
      </c>
      <c r="ES12">
        <v>30634</v>
      </c>
      <c r="ET12">
        <v>30070</v>
      </c>
      <c r="EU12">
        <v>29113</v>
      </c>
      <c r="EV12">
        <v>28008</v>
      </c>
      <c r="EW12">
        <v>26956</v>
      </c>
      <c r="EX12">
        <v>26302</v>
      </c>
      <c r="EY12">
        <v>25383</v>
      </c>
      <c r="EZ12">
        <v>24261</v>
      </c>
      <c r="FA12">
        <v>23088</v>
      </c>
      <c r="FB12">
        <v>22020</v>
      </c>
      <c r="FC12">
        <v>20938</v>
      </c>
      <c r="FD12">
        <v>19734</v>
      </c>
      <c r="FE12">
        <v>18139</v>
      </c>
      <c r="FF12">
        <v>16219</v>
      </c>
      <c r="FG12">
        <v>14626</v>
      </c>
      <c r="FH12">
        <v>13509</v>
      </c>
      <c r="FI12">
        <v>13028</v>
      </c>
      <c r="FJ12">
        <v>12698</v>
      </c>
      <c r="FK12">
        <v>12289</v>
      </c>
      <c r="FL12">
        <v>12084</v>
      </c>
      <c r="FM12">
        <v>11816</v>
      </c>
      <c r="FN12">
        <v>11467</v>
      </c>
      <c r="FO12">
        <v>11016</v>
      </c>
      <c r="FP12">
        <v>10616</v>
      </c>
      <c r="FQ12">
        <v>10164</v>
      </c>
      <c r="FR12">
        <v>9832</v>
      </c>
      <c r="FS12">
        <v>9397</v>
      </c>
      <c r="FT12">
        <v>8974</v>
      </c>
      <c r="FU12">
        <v>8532</v>
      </c>
      <c r="FV12">
        <v>8023</v>
      </c>
      <c r="FW12">
        <v>7537</v>
      </c>
      <c r="FX12">
        <v>7157</v>
      </c>
      <c r="FY12">
        <v>6581</v>
      </c>
      <c r="FZ12">
        <v>5983</v>
      </c>
      <c r="GA12">
        <v>5412</v>
      </c>
      <c r="GB12">
        <v>5044</v>
      </c>
      <c r="GC12">
        <v>4655</v>
      </c>
      <c r="GD12">
        <v>4341</v>
      </c>
      <c r="GE12">
        <v>3989</v>
      </c>
      <c r="GF12">
        <v>3633</v>
      </c>
      <c r="GG12">
        <v>3344</v>
      </c>
      <c r="GH12">
        <v>3029</v>
      </c>
      <c r="GI12">
        <v>2781</v>
      </c>
      <c r="GJ12">
        <v>2490</v>
      </c>
      <c r="GK12">
        <v>2041</v>
      </c>
      <c r="GL12">
        <v>1755</v>
      </c>
      <c r="GM12">
        <v>1504</v>
      </c>
      <c r="GN12">
        <v>1200</v>
      </c>
      <c r="GO12">
        <v>1003</v>
      </c>
      <c r="GP12">
        <v>760</v>
      </c>
      <c r="GQ12">
        <v>703</v>
      </c>
      <c r="GR12">
        <v>655</v>
      </c>
      <c r="GS12">
        <v>523</v>
      </c>
      <c r="GT12">
        <v>458</v>
      </c>
      <c r="GU12">
        <v>381</v>
      </c>
      <c r="GV12">
        <v>331</v>
      </c>
      <c r="GW12">
        <v>379</v>
      </c>
      <c r="GX12">
        <v>365</v>
      </c>
      <c r="GY12">
        <v>33.862125763182298</v>
      </c>
      <c r="GZ12">
        <v>2067</v>
      </c>
      <c r="HA12">
        <v>11209</v>
      </c>
      <c r="HB12">
        <v>13953</v>
      </c>
      <c r="HC12">
        <v>6651</v>
      </c>
      <c r="HD12">
        <v>3005</v>
      </c>
      <c r="HE12">
        <v>1265</v>
      </c>
      <c r="HF12">
        <v>365</v>
      </c>
      <c r="HG12">
        <v>0</v>
      </c>
      <c r="HH12">
        <v>9241</v>
      </c>
      <c r="HI12">
        <v>20679</v>
      </c>
      <c r="HJ12">
        <v>10345</v>
      </c>
      <c r="HK12">
        <v>4241</v>
      </c>
      <c r="HL12">
        <v>1483</v>
      </c>
      <c r="HM12">
        <v>419</v>
      </c>
      <c r="HN12">
        <v>55782</v>
      </c>
      <c r="HO12">
        <v>206352</v>
      </c>
      <c r="HP12">
        <v>230398</v>
      </c>
      <c r="HQ12">
        <v>142743</v>
      </c>
      <c r="HR12">
        <v>80060</v>
      </c>
      <c r="HS12">
        <v>31498</v>
      </c>
      <c r="HT12">
        <v>9835</v>
      </c>
      <c r="HU12">
        <v>204916</v>
      </c>
      <c r="HV12">
        <v>100281</v>
      </c>
      <c r="HW12">
        <v>182734</v>
      </c>
      <c r="HX12">
        <v>129801</v>
      </c>
      <c r="HY12">
        <v>73199</v>
      </c>
      <c r="HZ12">
        <v>27543</v>
      </c>
      <c r="IA12">
        <v>6480</v>
      </c>
      <c r="IB12">
        <v>186706</v>
      </c>
      <c r="IC12">
        <v>79898</v>
      </c>
      <c r="ID12">
        <v>40602</v>
      </c>
      <c r="IE12">
        <v>17030</v>
      </c>
      <c r="IF12">
        <v>7041</v>
      </c>
      <c r="IG12">
        <v>4120</v>
      </c>
      <c r="IH12">
        <v>1601</v>
      </c>
      <c r="II12">
        <v>19990</v>
      </c>
      <c r="IJ12">
        <v>170841</v>
      </c>
      <c r="IK12">
        <v>73412</v>
      </c>
      <c r="IL12">
        <v>14151</v>
      </c>
      <c r="IM12">
        <v>3156</v>
      </c>
      <c r="IN12">
        <v>1855</v>
      </c>
      <c r="IO12">
        <v>573</v>
      </c>
      <c r="IP12">
        <v>27</v>
      </c>
      <c r="IQ12">
        <v>651</v>
      </c>
      <c r="IR12">
        <v>2417</v>
      </c>
      <c r="IS12">
        <v>4220</v>
      </c>
      <c r="IT12">
        <v>8728</v>
      </c>
      <c r="IU12">
        <v>15248</v>
      </c>
      <c r="IV12">
        <v>7296</v>
      </c>
      <c r="IW12">
        <v>0</v>
      </c>
      <c r="IX12">
        <v>2530</v>
      </c>
      <c r="IY12">
        <v>5866</v>
      </c>
      <c r="IZ12">
        <v>19702</v>
      </c>
      <c r="JA12">
        <v>27059</v>
      </c>
      <c r="JB12">
        <v>32384</v>
      </c>
      <c r="JC12">
        <v>23853</v>
      </c>
    </row>
    <row r="13" spans="1:263" x14ac:dyDescent="0.3">
      <c r="A13" s="1">
        <v>2001</v>
      </c>
      <c r="B13" s="1">
        <v>3383062</v>
      </c>
      <c r="C13" s="1">
        <v>702437</v>
      </c>
      <c r="D13" s="1">
        <v>1694024</v>
      </c>
      <c r="E13" s="1">
        <v>1689038</v>
      </c>
      <c r="F13" s="1">
        <v>0</v>
      </c>
      <c r="G13" s="1">
        <v>22075</v>
      </c>
      <c r="H13" s="1">
        <v>22572</v>
      </c>
      <c r="I13" s="1">
        <v>23642</v>
      </c>
      <c r="J13" s="1">
        <v>23866</v>
      </c>
      <c r="K13" s="1">
        <v>24571</v>
      </c>
      <c r="L13" s="1">
        <v>25006</v>
      </c>
      <c r="M13" s="1">
        <v>25811</v>
      </c>
      <c r="N13" s="1">
        <v>25931</v>
      </c>
      <c r="O13" s="1">
        <v>26577</v>
      </c>
      <c r="P13" s="1">
        <v>29066</v>
      </c>
      <c r="Q13" s="1">
        <v>51096</v>
      </c>
      <c r="R13" s="1">
        <v>26183</v>
      </c>
      <c r="S13" s="1">
        <v>26040</v>
      </c>
      <c r="T13" s="1">
        <v>25564</v>
      </c>
      <c r="U13" s="1">
        <v>25354</v>
      </c>
      <c r="V13" s="1">
        <v>24855</v>
      </c>
      <c r="W13" s="1">
        <v>24543</v>
      </c>
      <c r="X13" s="1">
        <v>24202</v>
      </c>
      <c r="Y13" s="1">
        <v>23953</v>
      </c>
      <c r="Z13" s="1">
        <v>23751</v>
      </c>
      <c r="AA13" s="1">
        <v>23475</v>
      </c>
      <c r="AB13" s="1">
        <v>23428</v>
      </c>
      <c r="AC13" s="1">
        <v>23511</v>
      </c>
      <c r="AD13" s="1">
        <v>23852</v>
      </c>
      <c r="AE13" s="1">
        <v>24206</v>
      </c>
      <c r="AF13" s="1">
        <v>24932</v>
      </c>
      <c r="AG13" s="1">
        <v>25327</v>
      </c>
      <c r="AH13" s="1">
        <v>25737</v>
      </c>
      <c r="AI13" s="1">
        <v>26087</v>
      </c>
      <c r="AJ13" s="1">
        <v>26565</v>
      </c>
      <c r="AK13" s="1">
        <v>26879</v>
      </c>
      <c r="AL13" s="1">
        <v>27267</v>
      </c>
      <c r="AM13" s="1">
        <v>27793</v>
      </c>
      <c r="AN13" s="1">
        <v>28509</v>
      </c>
      <c r="AO13" s="1">
        <v>29796</v>
      </c>
      <c r="AP13" s="1">
        <v>30737</v>
      </c>
      <c r="AQ13" s="1">
        <v>31872</v>
      </c>
      <c r="AR13" s="1">
        <v>32459</v>
      </c>
      <c r="AS13" s="1">
        <v>32689</v>
      </c>
      <c r="AT13" s="1">
        <v>32609</v>
      </c>
      <c r="AU13" s="1">
        <v>32545</v>
      </c>
      <c r="AV13" s="1">
        <v>32140</v>
      </c>
      <c r="AW13" s="1">
        <v>31533</v>
      </c>
      <c r="AX13" s="1">
        <v>30517</v>
      </c>
      <c r="AY13" s="1">
        <v>29339</v>
      </c>
      <c r="AZ13" s="1">
        <v>28189</v>
      </c>
      <c r="BA13" s="1">
        <v>27199</v>
      </c>
      <c r="BB13" s="1">
        <v>26314</v>
      </c>
      <c r="BC13" s="1">
        <v>25410</v>
      </c>
      <c r="BD13" s="1">
        <v>24321</v>
      </c>
      <c r="BE13" s="1">
        <v>22988</v>
      </c>
      <c r="BF13" s="1">
        <v>21841</v>
      </c>
      <c r="BG13" s="1">
        <v>20571</v>
      </c>
      <c r="BH13" s="1">
        <v>19262</v>
      </c>
      <c r="BI13" s="1">
        <v>17583</v>
      </c>
      <c r="BJ13" s="1">
        <v>15767</v>
      </c>
      <c r="BK13" s="1">
        <v>14207</v>
      </c>
      <c r="BL13" s="1">
        <v>13114</v>
      </c>
      <c r="BM13" s="1">
        <v>12509</v>
      </c>
      <c r="BN13" s="1">
        <v>12053</v>
      </c>
      <c r="BO13" s="1">
        <v>11608</v>
      </c>
      <c r="BP13" s="1">
        <v>11324</v>
      </c>
      <c r="BQ13" s="1">
        <v>10969</v>
      </c>
      <c r="BR13" s="1">
        <v>10535</v>
      </c>
      <c r="BS13" s="1">
        <v>10009</v>
      </c>
      <c r="BT13" s="1">
        <v>9481</v>
      </c>
      <c r="BU13" s="1">
        <v>8960</v>
      </c>
      <c r="BV13" s="1">
        <v>8498</v>
      </c>
      <c r="BW13" s="1">
        <v>8163</v>
      </c>
      <c r="BX13" s="1">
        <v>7671</v>
      </c>
      <c r="BY13" s="1">
        <v>7127</v>
      </c>
      <c r="BZ13" s="1">
        <v>6670</v>
      </c>
      <c r="CA13" s="1">
        <v>6296</v>
      </c>
      <c r="CB13" s="1">
        <v>5728</v>
      </c>
      <c r="CC13" s="1">
        <v>5177</v>
      </c>
      <c r="CD13" s="1">
        <v>4567</v>
      </c>
      <c r="CE13" s="1">
        <v>4145</v>
      </c>
      <c r="CF13" s="1">
        <v>3787</v>
      </c>
      <c r="CG13" s="1">
        <v>3378</v>
      </c>
      <c r="CH13" s="1">
        <v>3057</v>
      </c>
      <c r="CI13" s="1">
        <v>2618</v>
      </c>
      <c r="CJ13" s="1">
        <v>2302</v>
      </c>
      <c r="CK13" s="1">
        <v>2001</v>
      </c>
      <c r="CL13" s="1">
        <v>1791</v>
      </c>
      <c r="CM13" s="1">
        <v>1524</v>
      </c>
      <c r="CN13" s="1">
        <v>1221</v>
      </c>
      <c r="CO13" s="1">
        <v>1047</v>
      </c>
      <c r="CP13" s="1">
        <v>832</v>
      </c>
      <c r="CQ13" s="1">
        <v>752</v>
      </c>
      <c r="CR13" s="1">
        <v>579</v>
      </c>
      <c r="CS13" s="1">
        <v>473</v>
      </c>
      <c r="CT13" s="1">
        <v>380</v>
      </c>
      <c r="CU13" s="1">
        <v>313</v>
      </c>
      <c r="CV13" s="1">
        <v>270</v>
      </c>
      <c r="CW13" s="1">
        <v>246</v>
      </c>
      <c r="CX13" s="1">
        <v>179</v>
      </c>
      <c r="CY13" s="1">
        <v>155</v>
      </c>
      <c r="CZ13" s="1">
        <v>140</v>
      </c>
      <c r="DA13" s="1">
        <v>135</v>
      </c>
      <c r="DB13">
        <v>33.330750139618701</v>
      </c>
      <c r="DC13">
        <v>0</v>
      </c>
      <c r="DD13">
        <v>24148</v>
      </c>
      <c r="DE13">
        <v>24382</v>
      </c>
      <c r="DF13">
        <v>25270</v>
      </c>
      <c r="DG13">
        <v>25900</v>
      </c>
      <c r="DH13">
        <v>26665</v>
      </c>
      <c r="DI13">
        <v>27213</v>
      </c>
      <c r="DJ13">
        <v>27580</v>
      </c>
      <c r="DK13">
        <v>27856</v>
      </c>
      <c r="DL13">
        <v>28240</v>
      </c>
      <c r="DM13">
        <v>30068</v>
      </c>
      <c r="DN13">
        <v>50830</v>
      </c>
      <c r="DO13">
        <v>23846</v>
      </c>
      <c r="DP13">
        <v>23684</v>
      </c>
      <c r="DQ13">
        <v>23489</v>
      </c>
      <c r="DR13">
        <v>23056</v>
      </c>
      <c r="DS13">
        <v>22696</v>
      </c>
      <c r="DT13">
        <v>22200</v>
      </c>
      <c r="DU13">
        <v>21958</v>
      </c>
      <c r="DV13">
        <v>21678</v>
      </c>
      <c r="DW13">
        <v>21498</v>
      </c>
      <c r="DX13">
        <v>21372</v>
      </c>
      <c r="DY13">
        <v>21330</v>
      </c>
      <c r="DZ13">
        <v>21299</v>
      </c>
      <c r="EA13">
        <v>21658</v>
      </c>
      <c r="EB13">
        <v>22162</v>
      </c>
      <c r="EC13">
        <v>22802</v>
      </c>
      <c r="ED13">
        <v>23385</v>
      </c>
      <c r="EE13">
        <v>23775</v>
      </c>
      <c r="EF13">
        <v>24203</v>
      </c>
      <c r="EG13">
        <v>24673</v>
      </c>
      <c r="EH13">
        <v>25078</v>
      </c>
      <c r="EI13">
        <v>25655</v>
      </c>
      <c r="EJ13">
        <v>26097</v>
      </c>
      <c r="EK13">
        <v>26981</v>
      </c>
      <c r="EL13">
        <v>28173</v>
      </c>
      <c r="EM13">
        <v>29393</v>
      </c>
      <c r="EN13">
        <v>30189</v>
      </c>
      <c r="EO13">
        <v>30761</v>
      </c>
      <c r="EP13">
        <v>31086</v>
      </c>
      <c r="EQ13">
        <v>31078</v>
      </c>
      <c r="ER13">
        <v>31148</v>
      </c>
      <c r="ES13">
        <v>31047</v>
      </c>
      <c r="ET13">
        <v>30757</v>
      </c>
      <c r="EU13">
        <v>30176</v>
      </c>
      <c r="EV13">
        <v>29252</v>
      </c>
      <c r="EW13">
        <v>28110</v>
      </c>
      <c r="EX13">
        <v>27040</v>
      </c>
      <c r="EY13">
        <v>26405</v>
      </c>
      <c r="EZ13">
        <v>25455</v>
      </c>
      <c r="FA13">
        <v>24333</v>
      </c>
      <c r="FB13">
        <v>23113</v>
      </c>
      <c r="FC13">
        <v>22074</v>
      </c>
      <c r="FD13">
        <v>20979</v>
      </c>
      <c r="FE13">
        <v>19776</v>
      </c>
      <c r="FF13">
        <v>18158</v>
      </c>
      <c r="FG13">
        <v>16219</v>
      </c>
      <c r="FH13">
        <v>14631</v>
      </c>
      <c r="FI13">
        <v>13511</v>
      </c>
      <c r="FJ13">
        <v>13043</v>
      </c>
      <c r="FK13">
        <v>12691</v>
      </c>
      <c r="FL13">
        <v>12263</v>
      </c>
      <c r="FM13">
        <v>12043</v>
      </c>
      <c r="FN13">
        <v>11763</v>
      </c>
      <c r="FO13">
        <v>11434</v>
      </c>
      <c r="FP13">
        <v>10981</v>
      </c>
      <c r="FQ13">
        <v>10522</v>
      </c>
      <c r="FR13">
        <v>10093</v>
      </c>
      <c r="FS13">
        <v>9778</v>
      </c>
      <c r="FT13">
        <v>9340</v>
      </c>
      <c r="FU13">
        <v>8887</v>
      </c>
      <c r="FV13">
        <v>8404</v>
      </c>
      <c r="FW13">
        <v>7896</v>
      </c>
      <c r="FX13">
        <v>7415</v>
      </c>
      <c r="FY13">
        <v>7052</v>
      </c>
      <c r="FZ13">
        <v>6478</v>
      </c>
      <c r="GA13">
        <v>5824</v>
      </c>
      <c r="GB13">
        <v>5229</v>
      </c>
      <c r="GC13">
        <v>4892</v>
      </c>
      <c r="GD13">
        <v>4511</v>
      </c>
      <c r="GE13">
        <v>4200</v>
      </c>
      <c r="GF13">
        <v>3763</v>
      </c>
      <c r="GG13">
        <v>3424</v>
      </c>
      <c r="GH13">
        <v>3170</v>
      </c>
      <c r="GI13">
        <v>2850</v>
      </c>
      <c r="GJ13">
        <v>2629</v>
      </c>
      <c r="GK13">
        <v>2215</v>
      </c>
      <c r="GL13">
        <v>1820</v>
      </c>
      <c r="GM13">
        <v>1548</v>
      </c>
      <c r="GN13">
        <v>1337</v>
      </c>
      <c r="GO13">
        <v>1048</v>
      </c>
      <c r="GP13">
        <v>894</v>
      </c>
      <c r="GQ13">
        <v>673</v>
      </c>
      <c r="GR13">
        <v>636</v>
      </c>
      <c r="GS13">
        <v>561</v>
      </c>
      <c r="GT13">
        <v>455</v>
      </c>
      <c r="GU13">
        <v>400</v>
      </c>
      <c r="GV13">
        <v>336</v>
      </c>
      <c r="GW13">
        <v>288</v>
      </c>
      <c r="GX13">
        <v>330</v>
      </c>
      <c r="GY13">
        <v>34.205740841957699</v>
      </c>
      <c r="GZ13">
        <v>2051</v>
      </c>
      <c r="HA13">
        <v>11580</v>
      </c>
      <c r="HB13">
        <v>14785</v>
      </c>
      <c r="HC13">
        <v>7590</v>
      </c>
      <c r="HD13">
        <v>3326</v>
      </c>
      <c r="HE13">
        <v>1438</v>
      </c>
      <c r="HF13">
        <v>401</v>
      </c>
      <c r="HG13">
        <v>0</v>
      </c>
      <c r="HH13">
        <v>6509</v>
      </c>
      <c r="HI13">
        <v>21403</v>
      </c>
      <c r="HJ13">
        <v>11841</v>
      </c>
      <c r="HK13">
        <v>4779</v>
      </c>
      <c r="HL13">
        <v>1733</v>
      </c>
      <c r="HM13">
        <v>459</v>
      </c>
      <c r="HN13">
        <v>54085</v>
      </c>
      <c r="HO13">
        <v>204553</v>
      </c>
      <c r="HP13">
        <v>233890</v>
      </c>
      <c r="HQ13">
        <v>152046</v>
      </c>
      <c r="HR13">
        <v>83263</v>
      </c>
      <c r="HS13">
        <v>33357</v>
      </c>
      <c r="HT13">
        <v>9908</v>
      </c>
      <c r="HU13">
        <v>202094</v>
      </c>
      <c r="HV13">
        <v>119989</v>
      </c>
      <c r="HW13">
        <v>172696</v>
      </c>
      <c r="HX13">
        <v>137541</v>
      </c>
      <c r="HY13">
        <v>75731</v>
      </c>
      <c r="HZ13">
        <v>30068</v>
      </c>
      <c r="IA13">
        <v>6617</v>
      </c>
      <c r="IB13">
        <v>188138</v>
      </c>
      <c r="IC13">
        <v>77836</v>
      </c>
      <c r="ID13">
        <v>44853</v>
      </c>
      <c r="IE13">
        <v>18270</v>
      </c>
      <c r="IF13">
        <v>6219</v>
      </c>
      <c r="IG13">
        <v>4736</v>
      </c>
      <c r="IH13">
        <v>1430</v>
      </c>
      <c r="II13">
        <v>21390</v>
      </c>
      <c r="IJ13">
        <v>150563</v>
      </c>
      <c r="IK13">
        <v>90776</v>
      </c>
      <c r="IL13">
        <v>16609</v>
      </c>
      <c r="IM13">
        <v>3613</v>
      </c>
      <c r="IN13">
        <v>2174</v>
      </c>
      <c r="IO13">
        <v>707</v>
      </c>
      <c r="IP13">
        <v>32</v>
      </c>
      <c r="IQ13">
        <v>597</v>
      </c>
      <c r="IR13">
        <v>2267</v>
      </c>
      <c r="IS13">
        <v>4257</v>
      </c>
      <c r="IT13">
        <v>8792</v>
      </c>
      <c r="IU13">
        <v>15015</v>
      </c>
      <c r="IV13">
        <v>8402</v>
      </c>
      <c r="IW13">
        <v>0</v>
      </c>
      <c r="IX13">
        <v>1025</v>
      </c>
      <c r="IY13">
        <v>5593</v>
      </c>
      <c r="IZ13">
        <v>19846</v>
      </c>
      <c r="JA13">
        <v>26785</v>
      </c>
      <c r="JB13">
        <v>32613</v>
      </c>
      <c r="JC13">
        <v>25125</v>
      </c>
    </row>
    <row r="14" spans="1:263" x14ac:dyDescent="0.3">
      <c r="A14" s="1">
        <v>2002</v>
      </c>
      <c r="B14" s="1">
        <v>3430888</v>
      </c>
      <c r="C14" s="1">
        <v>720402</v>
      </c>
      <c r="D14" s="1">
        <v>1717173</v>
      </c>
      <c r="E14" s="1">
        <v>1713715</v>
      </c>
      <c r="F14" s="1">
        <v>0</v>
      </c>
      <c r="G14" s="1">
        <v>21678</v>
      </c>
      <c r="H14" s="1">
        <v>22084</v>
      </c>
      <c r="I14" s="1">
        <v>22600</v>
      </c>
      <c r="J14" s="1">
        <v>23674</v>
      </c>
      <c r="K14" s="1">
        <v>23920</v>
      </c>
      <c r="L14" s="1">
        <v>24662</v>
      </c>
      <c r="M14" s="1">
        <v>25117</v>
      </c>
      <c r="N14" s="1">
        <v>25960</v>
      </c>
      <c r="O14" s="1">
        <v>26092</v>
      </c>
      <c r="P14" s="1">
        <v>26809</v>
      </c>
      <c r="Q14" s="1">
        <v>29504</v>
      </c>
      <c r="R14" s="1">
        <v>51371</v>
      </c>
      <c r="S14" s="1">
        <v>26438</v>
      </c>
      <c r="T14" s="1">
        <v>26282</v>
      </c>
      <c r="U14" s="1">
        <v>25792</v>
      </c>
      <c r="V14" s="1">
        <v>25604</v>
      </c>
      <c r="W14" s="1">
        <v>25106</v>
      </c>
      <c r="X14" s="1">
        <v>24776</v>
      </c>
      <c r="Y14" s="1">
        <v>24434</v>
      </c>
      <c r="Z14" s="1">
        <v>24201</v>
      </c>
      <c r="AA14" s="1">
        <v>23941</v>
      </c>
      <c r="AB14" s="1">
        <v>23720</v>
      </c>
      <c r="AC14" s="1">
        <v>23654</v>
      </c>
      <c r="AD14" s="1">
        <v>23740</v>
      </c>
      <c r="AE14" s="1">
        <v>24103</v>
      </c>
      <c r="AF14" s="1">
        <v>24431</v>
      </c>
      <c r="AG14" s="1">
        <v>25170</v>
      </c>
      <c r="AH14" s="1">
        <v>25590</v>
      </c>
      <c r="AI14" s="1">
        <v>25984</v>
      </c>
      <c r="AJ14" s="1">
        <v>26342</v>
      </c>
      <c r="AK14" s="1">
        <v>26844</v>
      </c>
      <c r="AL14" s="1">
        <v>27102</v>
      </c>
      <c r="AM14" s="1">
        <v>27530</v>
      </c>
      <c r="AN14" s="1">
        <v>28061</v>
      </c>
      <c r="AO14" s="1">
        <v>28782</v>
      </c>
      <c r="AP14" s="1">
        <v>29991</v>
      </c>
      <c r="AQ14" s="1">
        <v>30945</v>
      </c>
      <c r="AR14" s="1">
        <v>32062</v>
      </c>
      <c r="AS14" s="1">
        <v>32626</v>
      </c>
      <c r="AT14" s="1">
        <v>32816</v>
      </c>
      <c r="AU14" s="1">
        <v>32680</v>
      </c>
      <c r="AV14" s="1">
        <v>32618</v>
      </c>
      <c r="AW14" s="1">
        <v>32221</v>
      </c>
      <c r="AX14" s="1">
        <v>31573</v>
      </c>
      <c r="AY14" s="1">
        <v>30531</v>
      </c>
      <c r="AZ14" s="1">
        <v>29302</v>
      </c>
      <c r="BA14" s="1">
        <v>28137</v>
      </c>
      <c r="BB14" s="1">
        <v>27164</v>
      </c>
      <c r="BC14" s="1">
        <v>26272</v>
      </c>
      <c r="BD14" s="1">
        <v>25387</v>
      </c>
      <c r="BE14" s="1">
        <v>24229</v>
      </c>
      <c r="BF14" s="1">
        <v>22922</v>
      </c>
      <c r="BG14" s="1">
        <v>21770</v>
      </c>
      <c r="BH14" s="1">
        <v>20506</v>
      </c>
      <c r="BI14" s="1">
        <v>19228</v>
      </c>
      <c r="BJ14" s="1">
        <v>17454</v>
      </c>
      <c r="BK14" s="1">
        <v>15688</v>
      </c>
      <c r="BL14" s="1">
        <v>14106</v>
      </c>
      <c r="BM14" s="1">
        <v>13023</v>
      </c>
      <c r="BN14" s="1">
        <v>12448</v>
      </c>
      <c r="BO14" s="1">
        <v>11930</v>
      </c>
      <c r="BP14" s="1">
        <v>11475</v>
      </c>
      <c r="BQ14" s="1">
        <v>11165</v>
      </c>
      <c r="BR14" s="1">
        <v>10838</v>
      </c>
      <c r="BS14" s="1">
        <v>10396</v>
      </c>
      <c r="BT14" s="1">
        <v>9793</v>
      </c>
      <c r="BU14" s="1">
        <v>9286</v>
      </c>
      <c r="BV14" s="1">
        <v>8766</v>
      </c>
      <c r="BW14" s="1">
        <v>8327</v>
      </c>
      <c r="BX14" s="1">
        <v>7992</v>
      </c>
      <c r="BY14" s="1">
        <v>7410</v>
      </c>
      <c r="BZ14" s="1">
        <v>6913</v>
      </c>
      <c r="CA14" s="1">
        <v>6462</v>
      </c>
      <c r="CB14" s="1">
        <v>6110</v>
      </c>
      <c r="CC14" s="1">
        <v>5540</v>
      </c>
      <c r="CD14" s="1">
        <v>4912</v>
      </c>
      <c r="CE14" s="1">
        <v>4312</v>
      </c>
      <c r="CF14" s="1">
        <v>3927</v>
      </c>
      <c r="CG14" s="1">
        <v>3587</v>
      </c>
      <c r="CH14" s="1">
        <v>3212</v>
      </c>
      <c r="CI14" s="1">
        <v>2775</v>
      </c>
      <c r="CJ14" s="1">
        <v>2419</v>
      </c>
      <c r="CK14" s="1">
        <v>2113</v>
      </c>
      <c r="CL14" s="1">
        <v>1823</v>
      </c>
      <c r="CM14" s="1">
        <v>1654</v>
      </c>
      <c r="CN14" s="1">
        <v>1330</v>
      </c>
      <c r="CO14" s="1">
        <v>1040</v>
      </c>
      <c r="CP14" s="1">
        <v>909</v>
      </c>
      <c r="CQ14" s="1">
        <v>728</v>
      </c>
      <c r="CR14" s="1">
        <v>653</v>
      </c>
      <c r="CS14" s="1">
        <v>491</v>
      </c>
      <c r="CT14" s="1">
        <v>397</v>
      </c>
      <c r="CU14" s="1">
        <v>318</v>
      </c>
      <c r="CV14" s="1">
        <v>280</v>
      </c>
      <c r="CW14" s="1">
        <v>233</v>
      </c>
      <c r="CX14" s="1">
        <v>215</v>
      </c>
      <c r="CY14" s="1">
        <v>155</v>
      </c>
      <c r="CZ14" s="1">
        <v>130</v>
      </c>
      <c r="DA14" s="1">
        <v>128</v>
      </c>
      <c r="DB14">
        <v>33.695622039429402</v>
      </c>
      <c r="DC14">
        <v>0</v>
      </c>
      <c r="DD14">
        <v>23216</v>
      </c>
      <c r="DE14">
        <v>24149</v>
      </c>
      <c r="DF14">
        <v>24393</v>
      </c>
      <c r="DG14">
        <v>25289</v>
      </c>
      <c r="DH14">
        <v>25946</v>
      </c>
      <c r="DI14">
        <v>26716</v>
      </c>
      <c r="DJ14">
        <v>27292</v>
      </c>
      <c r="DK14">
        <v>27668</v>
      </c>
      <c r="DL14">
        <v>27986</v>
      </c>
      <c r="DM14">
        <v>28356</v>
      </c>
      <c r="DN14">
        <v>30357</v>
      </c>
      <c r="DO14">
        <v>50993</v>
      </c>
      <c r="DP14">
        <v>24035</v>
      </c>
      <c r="DQ14">
        <v>23843</v>
      </c>
      <c r="DR14">
        <v>23665</v>
      </c>
      <c r="DS14">
        <v>23213</v>
      </c>
      <c r="DT14">
        <v>22836</v>
      </c>
      <c r="DU14">
        <v>22338</v>
      </c>
      <c r="DV14">
        <v>22098</v>
      </c>
      <c r="DW14">
        <v>21828</v>
      </c>
      <c r="DX14">
        <v>21649</v>
      </c>
      <c r="DY14">
        <v>21511</v>
      </c>
      <c r="DZ14">
        <v>21476</v>
      </c>
      <c r="EA14">
        <v>21446</v>
      </c>
      <c r="EB14">
        <v>21805</v>
      </c>
      <c r="EC14">
        <v>22325</v>
      </c>
      <c r="ED14">
        <v>22962</v>
      </c>
      <c r="EE14">
        <v>23549</v>
      </c>
      <c r="EF14">
        <v>23955</v>
      </c>
      <c r="EG14">
        <v>24397</v>
      </c>
      <c r="EH14">
        <v>24837</v>
      </c>
      <c r="EI14">
        <v>25268</v>
      </c>
      <c r="EJ14">
        <v>25858</v>
      </c>
      <c r="EK14">
        <v>26287</v>
      </c>
      <c r="EL14">
        <v>27169</v>
      </c>
      <c r="EM14">
        <v>28300</v>
      </c>
      <c r="EN14">
        <v>29491</v>
      </c>
      <c r="EO14">
        <v>30283</v>
      </c>
      <c r="EP14">
        <v>30865</v>
      </c>
      <c r="EQ14">
        <v>31183</v>
      </c>
      <c r="ER14">
        <v>31179</v>
      </c>
      <c r="ES14">
        <v>31241</v>
      </c>
      <c r="ET14">
        <v>31154</v>
      </c>
      <c r="EU14">
        <v>30860</v>
      </c>
      <c r="EV14">
        <v>30269</v>
      </c>
      <c r="EW14">
        <v>29347</v>
      </c>
      <c r="EX14">
        <v>28184</v>
      </c>
      <c r="EY14">
        <v>27114</v>
      </c>
      <c r="EZ14">
        <v>26473</v>
      </c>
      <c r="FA14">
        <v>25517</v>
      </c>
      <c r="FB14">
        <v>24371</v>
      </c>
      <c r="FC14">
        <v>23152</v>
      </c>
      <c r="FD14">
        <v>22107</v>
      </c>
      <c r="FE14">
        <v>21021</v>
      </c>
      <c r="FF14">
        <v>19787</v>
      </c>
      <c r="FG14">
        <v>18156</v>
      </c>
      <c r="FH14">
        <v>16212</v>
      </c>
      <c r="FI14">
        <v>14622</v>
      </c>
      <c r="FJ14">
        <v>13514</v>
      </c>
      <c r="FK14">
        <v>13051</v>
      </c>
      <c r="FL14">
        <v>12652</v>
      </c>
      <c r="FM14">
        <v>12231</v>
      </c>
      <c r="FN14">
        <v>12006</v>
      </c>
      <c r="FO14">
        <v>11751</v>
      </c>
      <c r="FP14">
        <v>11409</v>
      </c>
      <c r="FQ14">
        <v>10895</v>
      </c>
      <c r="FR14">
        <v>10445</v>
      </c>
      <c r="FS14">
        <v>10008</v>
      </c>
      <c r="FT14">
        <v>9685</v>
      </c>
      <c r="FU14">
        <v>9270</v>
      </c>
      <c r="FV14">
        <v>8746</v>
      </c>
      <c r="FW14">
        <v>8284</v>
      </c>
      <c r="FX14">
        <v>7757</v>
      </c>
      <c r="FY14">
        <v>7311</v>
      </c>
      <c r="FZ14">
        <v>6924</v>
      </c>
      <c r="GA14">
        <v>6253</v>
      </c>
      <c r="GB14">
        <v>5644</v>
      </c>
      <c r="GC14">
        <v>5063</v>
      </c>
      <c r="GD14">
        <v>4721</v>
      </c>
      <c r="GE14">
        <v>4384</v>
      </c>
      <c r="GF14">
        <v>3970</v>
      </c>
      <c r="GG14">
        <v>3533</v>
      </c>
      <c r="GH14">
        <v>3226</v>
      </c>
      <c r="GI14">
        <v>3002</v>
      </c>
      <c r="GJ14">
        <v>2709</v>
      </c>
      <c r="GK14">
        <v>2279</v>
      </c>
      <c r="GL14">
        <v>1956</v>
      </c>
      <c r="GM14">
        <v>1624</v>
      </c>
      <c r="GN14">
        <v>1387</v>
      </c>
      <c r="GO14">
        <v>1191</v>
      </c>
      <c r="GP14">
        <v>917</v>
      </c>
      <c r="GQ14">
        <v>782</v>
      </c>
      <c r="GR14">
        <v>599</v>
      </c>
      <c r="GS14">
        <v>566</v>
      </c>
      <c r="GT14">
        <v>484</v>
      </c>
      <c r="GU14">
        <v>401</v>
      </c>
      <c r="GV14">
        <v>358</v>
      </c>
      <c r="GW14">
        <v>296</v>
      </c>
      <c r="GX14">
        <v>256</v>
      </c>
      <c r="GY14">
        <v>34.570291143917601</v>
      </c>
      <c r="GZ14">
        <v>2048</v>
      </c>
      <c r="HA14">
        <v>11651</v>
      </c>
      <c r="HB14">
        <v>15643</v>
      </c>
      <c r="HC14">
        <v>8686</v>
      </c>
      <c r="HD14">
        <v>3700</v>
      </c>
      <c r="HE14">
        <v>1615</v>
      </c>
      <c r="HF14">
        <v>442</v>
      </c>
      <c r="HG14">
        <v>0</v>
      </c>
      <c r="HH14">
        <v>5363</v>
      </c>
      <c r="HI14">
        <v>21775</v>
      </c>
      <c r="HJ14">
        <v>13516</v>
      </c>
      <c r="HK14">
        <v>5309</v>
      </c>
      <c r="HL14">
        <v>2015</v>
      </c>
      <c r="HM14">
        <v>538</v>
      </c>
      <c r="HN14">
        <v>52179</v>
      </c>
      <c r="HO14">
        <v>201962</v>
      </c>
      <c r="HP14">
        <v>237326</v>
      </c>
      <c r="HQ14">
        <v>161380</v>
      </c>
      <c r="HR14">
        <v>86440</v>
      </c>
      <c r="HS14">
        <v>35586</v>
      </c>
      <c r="HT14">
        <v>9900</v>
      </c>
      <c r="HU14">
        <v>199820</v>
      </c>
      <c r="HV14">
        <v>140383</v>
      </c>
      <c r="HW14">
        <v>160872</v>
      </c>
      <c r="HX14">
        <v>144815</v>
      </c>
      <c r="HY14">
        <v>78242</v>
      </c>
      <c r="HZ14">
        <v>32402</v>
      </c>
      <c r="IA14">
        <v>6910</v>
      </c>
      <c r="IB14">
        <v>190276</v>
      </c>
      <c r="IC14">
        <v>76139</v>
      </c>
      <c r="ID14">
        <v>48187</v>
      </c>
      <c r="IE14">
        <v>19900</v>
      </c>
      <c r="IF14">
        <v>5521</v>
      </c>
      <c r="IG14">
        <v>5187</v>
      </c>
      <c r="IH14">
        <v>1296</v>
      </c>
      <c r="II14">
        <v>22686</v>
      </c>
      <c r="IJ14">
        <v>126207</v>
      </c>
      <c r="IK14">
        <v>109009</v>
      </c>
      <c r="IL14">
        <v>20170</v>
      </c>
      <c r="IM14">
        <v>4090</v>
      </c>
      <c r="IN14">
        <v>2493</v>
      </c>
      <c r="IO14">
        <v>856</v>
      </c>
      <c r="IP14">
        <v>31</v>
      </c>
      <c r="IQ14">
        <v>533</v>
      </c>
      <c r="IR14">
        <v>2158</v>
      </c>
      <c r="IS14">
        <v>4347</v>
      </c>
      <c r="IT14">
        <v>8763</v>
      </c>
      <c r="IU14">
        <v>14777</v>
      </c>
      <c r="IV14">
        <v>9597</v>
      </c>
      <c r="IW14">
        <v>0</v>
      </c>
      <c r="IX14">
        <v>802</v>
      </c>
      <c r="IY14">
        <v>5348</v>
      </c>
      <c r="IZ14">
        <v>19958</v>
      </c>
      <c r="JA14">
        <v>26492</v>
      </c>
      <c r="JB14">
        <v>33063</v>
      </c>
      <c r="JC14">
        <v>26192</v>
      </c>
    </row>
    <row r="15" spans="1:263" x14ac:dyDescent="0.3">
      <c r="A15" s="1">
        <v>2003</v>
      </c>
      <c r="B15" s="1">
        <v>3475871</v>
      </c>
      <c r="C15" s="1">
        <v>746068</v>
      </c>
      <c r="D15" s="1">
        <v>1738572</v>
      </c>
      <c r="E15" s="1">
        <v>1737299</v>
      </c>
      <c r="F15" s="1">
        <v>0</v>
      </c>
      <c r="G15" s="1">
        <v>20943</v>
      </c>
      <c r="H15" s="1">
        <v>21681</v>
      </c>
      <c r="I15" s="1">
        <v>22105</v>
      </c>
      <c r="J15" s="1">
        <v>22620</v>
      </c>
      <c r="K15" s="1">
        <v>23719</v>
      </c>
      <c r="L15" s="1">
        <v>23988</v>
      </c>
      <c r="M15" s="1">
        <v>24757</v>
      </c>
      <c r="N15" s="1">
        <v>25251</v>
      </c>
      <c r="O15" s="1">
        <v>26098</v>
      </c>
      <c r="P15" s="1">
        <v>26243</v>
      </c>
      <c r="Q15" s="1">
        <v>27049</v>
      </c>
      <c r="R15" s="1">
        <v>29924</v>
      </c>
      <c r="S15" s="1">
        <v>51647</v>
      </c>
      <c r="T15" s="1">
        <v>26685</v>
      </c>
      <c r="U15" s="1">
        <v>26538</v>
      </c>
      <c r="V15" s="1">
        <v>26002</v>
      </c>
      <c r="W15" s="1">
        <v>25835</v>
      </c>
      <c r="X15" s="1">
        <v>25322</v>
      </c>
      <c r="Y15" s="1">
        <v>25002</v>
      </c>
      <c r="Z15" s="1">
        <v>24682</v>
      </c>
      <c r="AA15" s="1">
        <v>24396</v>
      </c>
      <c r="AB15" s="1">
        <v>24154</v>
      </c>
      <c r="AC15" s="1">
        <v>23917</v>
      </c>
      <c r="AD15" s="1">
        <v>23858</v>
      </c>
      <c r="AE15" s="1">
        <v>23944</v>
      </c>
      <c r="AF15" s="1">
        <v>24312</v>
      </c>
      <c r="AG15" s="1">
        <v>24673</v>
      </c>
      <c r="AH15" s="1">
        <v>25391</v>
      </c>
      <c r="AI15" s="1">
        <v>25797</v>
      </c>
      <c r="AJ15" s="1">
        <v>26220</v>
      </c>
      <c r="AK15" s="1">
        <v>26599</v>
      </c>
      <c r="AL15" s="1">
        <v>27070</v>
      </c>
      <c r="AM15" s="1">
        <v>27337</v>
      </c>
      <c r="AN15" s="1">
        <v>27798</v>
      </c>
      <c r="AO15" s="1">
        <v>28298</v>
      </c>
      <c r="AP15" s="1">
        <v>28988</v>
      </c>
      <c r="AQ15" s="1">
        <v>30175</v>
      </c>
      <c r="AR15" s="1">
        <v>31100</v>
      </c>
      <c r="AS15" s="1">
        <v>32237</v>
      </c>
      <c r="AT15" s="1">
        <v>32760</v>
      </c>
      <c r="AU15" s="1">
        <v>32909</v>
      </c>
      <c r="AV15" s="1">
        <v>32776</v>
      </c>
      <c r="AW15" s="1">
        <v>32695</v>
      </c>
      <c r="AX15" s="1">
        <v>32272</v>
      </c>
      <c r="AY15" s="1">
        <v>31594</v>
      </c>
      <c r="AZ15" s="1">
        <v>30511</v>
      </c>
      <c r="BA15" s="1">
        <v>29261</v>
      </c>
      <c r="BB15" s="1">
        <v>28101</v>
      </c>
      <c r="BC15" s="1">
        <v>27125</v>
      </c>
      <c r="BD15" s="1">
        <v>26232</v>
      </c>
      <c r="BE15" s="1">
        <v>25302</v>
      </c>
      <c r="BF15" s="1">
        <v>24159</v>
      </c>
      <c r="BG15" s="1">
        <v>22865</v>
      </c>
      <c r="BH15" s="1">
        <v>21705</v>
      </c>
      <c r="BI15" s="1">
        <v>20429</v>
      </c>
      <c r="BJ15" s="1">
        <v>19095</v>
      </c>
      <c r="BK15" s="1">
        <v>17323</v>
      </c>
      <c r="BL15" s="1">
        <v>15589</v>
      </c>
      <c r="BM15" s="1">
        <v>14004</v>
      </c>
      <c r="BN15" s="1">
        <v>12937</v>
      </c>
      <c r="BO15" s="1">
        <v>12295</v>
      </c>
      <c r="BP15" s="1">
        <v>11798</v>
      </c>
      <c r="BQ15" s="1">
        <v>11338</v>
      </c>
      <c r="BR15" s="1">
        <v>11014</v>
      </c>
      <c r="BS15" s="1">
        <v>10717</v>
      </c>
      <c r="BT15" s="1">
        <v>10204</v>
      </c>
      <c r="BU15" s="1">
        <v>9595</v>
      </c>
      <c r="BV15" s="1">
        <v>9105</v>
      </c>
      <c r="BW15" s="1">
        <v>8582</v>
      </c>
      <c r="BX15" s="1">
        <v>8148</v>
      </c>
      <c r="BY15" s="1">
        <v>7711</v>
      </c>
      <c r="BZ15" s="1">
        <v>7174</v>
      </c>
      <c r="CA15" s="1">
        <v>6695</v>
      </c>
      <c r="CB15" s="1">
        <v>6259</v>
      </c>
      <c r="CC15" s="1">
        <v>5902</v>
      </c>
      <c r="CD15" s="1">
        <v>5255</v>
      </c>
      <c r="CE15" s="1">
        <v>4656</v>
      </c>
      <c r="CF15" s="1">
        <v>4081</v>
      </c>
      <c r="CG15" s="1">
        <v>3716</v>
      </c>
      <c r="CH15" s="1">
        <v>3404</v>
      </c>
      <c r="CI15" s="1">
        <v>2942</v>
      </c>
      <c r="CJ15" s="1">
        <v>2537</v>
      </c>
      <c r="CK15" s="1">
        <v>2234</v>
      </c>
      <c r="CL15" s="1">
        <v>1931</v>
      </c>
      <c r="CM15" s="1">
        <v>1669</v>
      </c>
      <c r="CN15" s="1">
        <v>1418</v>
      </c>
      <c r="CO15" s="1">
        <v>1148</v>
      </c>
      <c r="CP15" s="1">
        <v>894</v>
      </c>
      <c r="CQ15" s="1">
        <v>773</v>
      </c>
      <c r="CR15" s="1">
        <v>626</v>
      </c>
      <c r="CS15" s="1">
        <v>548</v>
      </c>
      <c r="CT15" s="1">
        <v>419</v>
      </c>
      <c r="CU15" s="1">
        <v>349</v>
      </c>
      <c r="CV15" s="1">
        <v>275</v>
      </c>
      <c r="CW15" s="1">
        <v>245</v>
      </c>
      <c r="CX15" s="1">
        <v>207</v>
      </c>
      <c r="CY15" s="1">
        <v>178</v>
      </c>
      <c r="CZ15" s="1">
        <v>122</v>
      </c>
      <c r="DA15" s="1">
        <v>114</v>
      </c>
      <c r="DB15">
        <v>34.073748890424199</v>
      </c>
      <c r="DC15">
        <v>0</v>
      </c>
      <c r="DD15">
        <v>22668</v>
      </c>
      <c r="DE15">
        <v>23215</v>
      </c>
      <c r="DF15">
        <v>24162</v>
      </c>
      <c r="DG15">
        <v>24416</v>
      </c>
      <c r="DH15">
        <v>25321</v>
      </c>
      <c r="DI15">
        <v>25985</v>
      </c>
      <c r="DJ15">
        <v>26784</v>
      </c>
      <c r="DK15">
        <v>27372</v>
      </c>
      <c r="DL15">
        <v>27759</v>
      </c>
      <c r="DM15">
        <v>28117</v>
      </c>
      <c r="DN15">
        <v>28468</v>
      </c>
      <c r="DO15">
        <v>30608</v>
      </c>
      <c r="DP15">
        <v>51149</v>
      </c>
      <c r="DQ15">
        <v>24187</v>
      </c>
      <c r="DR15">
        <v>24014</v>
      </c>
      <c r="DS15">
        <v>23822</v>
      </c>
      <c r="DT15">
        <v>23357</v>
      </c>
      <c r="DU15">
        <v>22981</v>
      </c>
      <c r="DV15">
        <v>22506</v>
      </c>
      <c r="DW15">
        <v>22237</v>
      </c>
      <c r="DX15">
        <v>21968</v>
      </c>
      <c r="DY15">
        <v>21783</v>
      </c>
      <c r="DZ15">
        <v>21635</v>
      </c>
      <c r="EA15">
        <v>21639</v>
      </c>
      <c r="EB15">
        <v>21587</v>
      </c>
      <c r="EC15">
        <v>21956</v>
      </c>
      <c r="ED15">
        <v>22464</v>
      </c>
      <c r="EE15">
        <v>23117</v>
      </c>
      <c r="EF15">
        <v>23700</v>
      </c>
      <c r="EG15">
        <v>24115</v>
      </c>
      <c r="EH15">
        <v>24565</v>
      </c>
      <c r="EI15">
        <v>25013</v>
      </c>
      <c r="EJ15">
        <v>25475</v>
      </c>
      <c r="EK15">
        <v>26016</v>
      </c>
      <c r="EL15">
        <v>26479</v>
      </c>
      <c r="EM15">
        <v>27248</v>
      </c>
      <c r="EN15">
        <v>28391</v>
      </c>
      <c r="EO15">
        <v>29571</v>
      </c>
      <c r="EP15">
        <v>30386</v>
      </c>
      <c r="EQ15">
        <v>30942</v>
      </c>
      <c r="ER15">
        <v>31266</v>
      </c>
      <c r="ES15">
        <v>31280</v>
      </c>
      <c r="ET15">
        <v>31348</v>
      </c>
      <c r="EU15">
        <v>31248</v>
      </c>
      <c r="EV15">
        <v>30966</v>
      </c>
      <c r="EW15">
        <v>30348</v>
      </c>
      <c r="EX15">
        <v>29407</v>
      </c>
      <c r="EY15">
        <v>28258</v>
      </c>
      <c r="EZ15">
        <v>27204</v>
      </c>
      <c r="FA15">
        <v>26549</v>
      </c>
      <c r="FB15">
        <v>25568</v>
      </c>
      <c r="FC15">
        <v>24422</v>
      </c>
      <c r="FD15">
        <v>23164</v>
      </c>
      <c r="FE15">
        <v>22146</v>
      </c>
      <c r="FF15">
        <v>21047</v>
      </c>
      <c r="FG15">
        <v>19790</v>
      </c>
      <c r="FH15">
        <v>18134</v>
      </c>
      <c r="FI15">
        <v>16216</v>
      </c>
      <c r="FJ15">
        <v>14629</v>
      </c>
      <c r="FK15">
        <v>13502</v>
      </c>
      <c r="FL15">
        <v>13032</v>
      </c>
      <c r="FM15">
        <v>12622</v>
      </c>
      <c r="FN15">
        <v>12186</v>
      </c>
      <c r="FO15">
        <v>11978</v>
      </c>
      <c r="FP15">
        <v>11721</v>
      </c>
      <c r="FQ15">
        <v>11311</v>
      </c>
      <c r="FR15">
        <v>10835</v>
      </c>
      <c r="FS15">
        <v>10385</v>
      </c>
      <c r="FT15">
        <v>9938</v>
      </c>
      <c r="FU15">
        <v>9619</v>
      </c>
      <c r="FV15">
        <v>9100</v>
      </c>
      <c r="FW15">
        <v>8575</v>
      </c>
      <c r="FX15">
        <v>8147</v>
      </c>
      <c r="FY15">
        <v>7639</v>
      </c>
      <c r="FZ15">
        <v>7157</v>
      </c>
      <c r="GA15">
        <v>6706</v>
      </c>
      <c r="GB15">
        <v>6043</v>
      </c>
      <c r="GC15">
        <v>5462</v>
      </c>
      <c r="GD15">
        <v>4901</v>
      </c>
      <c r="GE15">
        <v>4566</v>
      </c>
      <c r="GF15">
        <v>4156</v>
      </c>
      <c r="GG15">
        <v>3749</v>
      </c>
      <c r="GH15">
        <v>3355</v>
      </c>
      <c r="GI15">
        <v>3075</v>
      </c>
      <c r="GJ15">
        <v>2836</v>
      </c>
      <c r="GK15">
        <v>2409</v>
      </c>
      <c r="GL15">
        <v>2014</v>
      </c>
      <c r="GM15">
        <v>1731</v>
      </c>
      <c r="GN15">
        <v>1430</v>
      </c>
      <c r="GO15">
        <v>1227</v>
      </c>
      <c r="GP15">
        <v>1064</v>
      </c>
      <c r="GQ15">
        <v>804</v>
      </c>
      <c r="GR15">
        <v>700</v>
      </c>
      <c r="GS15">
        <v>530</v>
      </c>
      <c r="GT15">
        <v>505</v>
      </c>
      <c r="GU15">
        <v>424</v>
      </c>
      <c r="GV15">
        <v>354</v>
      </c>
      <c r="GW15">
        <v>323</v>
      </c>
      <c r="GX15">
        <v>270</v>
      </c>
      <c r="GY15">
        <v>34.952219027508001</v>
      </c>
      <c r="GZ15">
        <v>1979</v>
      </c>
      <c r="HA15">
        <v>11921</v>
      </c>
      <c r="HB15">
        <v>16372</v>
      </c>
      <c r="HC15">
        <v>9766</v>
      </c>
      <c r="HD15">
        <v>4107</v>
      </c>
      <c r="HE15">
        <v>1851</v>
      </c>
      <c r="HF15">
        <v>501</v>
      </c>
      <c r="HG15">
        <v>0</v>
      </c>
      <c r="HH15">
        <v>3581</v>
      </c>
      <c r="HI15">
        <v>21856</v>
      </c>
      <c r="HJ15">
        <v>15208</v>
      </c>
      <c r="HK15">
        <v>5947</v>
      </c>
      <c r="HL15">
        <v>2362</v>
      </c>
      <c r="HM15">
        <v>605</v>
      </c>
      <c r="HN15">
        <v>50516</v>
      </c>
      <c r="HO15">
        <v>198716</v>
      </c>
      <c r="HP15">
        <v>241084</v>
      </c>
      <c r="HQ15">
        <v>170570</v>
      </c>
      <c r="HR15">
        <v>89772</v>
      </c>
      <c r="HS15">
        <v>37748</v>
      </c>
      <c r="HT15">
        <v>9876</v>
      </c>
      <c r="HU15">
        <v>198072</v>
      </c>
      <c r="HV15">
        <v>162100</v>
      </c>
      <c r="HW15">
        <v>147883</v>
      </c>
      <c r="HX15">
        <v>151471</v>
      </c>
      <c r="HY15">
        <v>80679</v>
      </c>
      <c r="HZ15">
        <v>34752</v>
      </c>
      <c r="IA15">
        <v>7226</v>
      </c>
      <c r="IB15">
        <v>192599</v>
      </c>
      <c r="IC15">
        <v>74692</v>
      </c>
      <c r="ID15">
        <v>50589</v>
      </c>
      <c r="IE15">
        <v>21896</v>
      </c>
      <c r="IF15">
        <v>4988</v>
      </c>
      <c r="IG15">
        <v>5472</v>
      </c>
      <c r="IH15">
        <v>1146</v>
      </c>
      <c r="II15">
        <v>24014</v>
      </c>
      <c r="IJ15">
        <v>101063</v>
      </c>
      <c r="IK15">
        <v>127485</v>
      </c>
      <c r="IL15">
        <v>24867</v>
      </c>
      <c r="IM15">
        <v>4538</v>
      </c>
      <c r="IN15">
        <v>2811</v>
      </c>
      <c r="IO15">
        <v>1023</v>
      </c>
      <c r="IP15">
        <v>30</v>
      </c>
      <c r="IQ15">
        <v>493</v>
      </c>
      <c r="IR15">
        <v>1959</v>
      </c>
      <c r="IS15">
        <v>4471</v>
      </c>
      <c r="IT15">
        <v>8718</v>
      </c>
      <c r="IU15">
        <v>14526</v>
      </c>
      <c r="IV15">
        <v>10805</v>
      </c>
      <c r="IW15">
        <v>0</v>
      </c>
      <c r="IX15">
        <v>515</v>
      </c>
      <c r="IY15">
        <v>5043</v>
      </c>
      <c r="IZ15">
        <v>20119</v>
      </c>
      <c r="JA15">
        <v>26346</v>
      </c>
      <c r="JB15">
        <v>33424</v>
      </c>
      <c r="JC15">
        <v>27418</v>
      </c>
    </row>
    <row r="16" spans="1:263" x14ac:dyDescent="0.3">
      <c r="A16" s="1">
        <v>2004</v>
      </c>
      <c r="B16" s="1">
        <v>3519268</v>
      </c>
      <c r="C16" s="1">
        <v>783057</v>
      </c>
      <c r="D16" s="1">
        <v>1759354</v>
      </c>
      <c r="E16" s="1">
        <v>1759914</v>
      </c>
      <c r="F16" s="1">
        <v>0</v>
      </c>
      <c r="G16" s="1">
        <v>20619</v>
      </c>
      <c r="H16" s="1">
        <v>20949</v>
      </c>
      <c r="I16" s="1">
        <v>21709</v>
      </c>
      <c r="J16" s="1">
        <v>22133</v>
      </c>
      <c r="K16" s="1">
        <v>22657</v>
      </c>
      <c r="L16" s="1">
        <v>23774</v>
      </c>
      <c r="M16" s="1">
        <v>24072</v>
      </c>
      <c r="N16" s="1">
        <v>24863</v>
      </c>
      <c r="O16" s="1">
        <v>25358</v>
      </c>
      <c r="P16" s="1">
        <v>26246</v>
      </c>
      <c r="Q16" s="1">
        <v>26393</v>
      </c>
      <c r="R16" s="1">
        <v>27252</v>
      </c>
      <c r="S16" s="1">
        <v>30336</v>
      </c>
      <c r="T16" s="1">
        <v>51874</v>
      </c>
      <c r="U16" s="1">
        <v>26927</v>
      </c>
      <c r="V16" s="1">
        <v>26746</v>
      </c>
      <c r="W16" s="1">
        <v>26230</v>
      </c>
      <c r="X16" s="1">
        <v>26058</v>
      </c>
      <c r="Y16" s="1">
        <v>25551</v>
      </c>
      <c r="Z16" s="1">
        <v>25241</v>
      </c>
      <c r="AA16" s="1">
        <v>24868</v>
      </c>
      <c r="AB16" s="1">
        <v>24609</v>
      </c>
      <c r="AC16" s="1">
        <v>24359</v>
      </c>
      <c r="AD16" s="1">
        <v>24125</v>
      </c>
      <c r="AE16" s="1">
        <v>24078</v>
      </c>
      <c r="AF16" s="1">
        <v>24143</v>
      </c>
      <c r="AG16" s="1">
        <v>24531</v>
      </c>
      <c r="AH16" s="1">
        <v>24864</v>
      </c>
      <c r="AI16" s="1">
        <v>25604</v>
      </c>
      <c r="AJ16" s="1">
        <v>26016</v>
      </c>
      <c r="AK16" s="1">
        <v>26460</v>
      </c>
      <c r="AL16" s="1">
        <v>26861</v>
      </c>
      <c r="AM16" s="1">
        <v>27326</v>
      </c>
      <c r="AN16" s="1">
        <v>27573</v>
      </c>
      <c r="AO16" s="1">
        <v>28047</v>
      </c>
      <c r="AP16" s="1">
        <v>28463</v>
      </c>
      <c r="AQ16" s="1">
        <v>29124</v>
      </c>
      <c r="AR16" s="1">
        <v>30317</v>
      </c>
      <c r="AS16" s="1">
        <v>31267</v>
      </c>
      <c r="AT16" s="1">
        <v>32424</v>
      </c>
      <c r="AU16" s="1">
        <v>32881</v>
      </c>
      <c r="AV16" s="1">
        <v>33019</v>
      </c>
      <c r="AW16" s="1">
        <v>32828</v>
      </c>
      <c r="AX16" s="1">
        <v>32771</v>
      </c>
      <c r="AY16" s="1">
        <v>32288</v>
      </c>
      <c r="AZ16" s="1">
        <v>31585</v>
      </c>
      <c r="BA16" s="1">
        <v>30493</v>
      </c>
      <c r="BB16" s="1">
        <v>29226</v>
      </c>
      <c r="BC16" s="1">
        <v>28073</v>
      </c>
      <c r="BD16" s="1">
        <v>27078</v>
      </c>
      <c r="BE16" s="1">
        <v>26121</v>
      </c>
      <c r="BF16" s="1">
        <v>25239</v>
      </c>
      <c r="BG16" s="1">
        <v>24076</v>
      </c>
      <c r="BH16" s="1">
        <v>22795</v>
      </c>
      <c r="BI16" s="1">
        <v>21638</v>
      </c>
      <c r="BJ16" s="1">
        <v>20302</v>
      </c>
      <c r="BK16" s="1">
        <v>18985</v>
      </c>
      <c r="BL16" s="1">
        <v>17218</v>
      </c>
      <c r="BM16" s="1">
        <v>15502</v>
      </c>
      <c r="BN16" s="1">
        <v>13923</v>
      </c>
      <c r="BO16" s="1">
        <v>12815</v>
      </c>
      <c r="BP16" s="1">
        <v>12157</v>
      </c>
      <c r="BQ16" s="1">
        <v>11660</v>
      </c>
      <c r="BR16" s="1">
        <v>11216</v>
      </c>
      <c r="BS16" s="1">
        <v>10901</v>
      </c>
      <c r="BT16" s="1">
        <v>10495</v>
      </c>
      <c r="BU16" s="1">
        <v>9992</v>
      </c>
      <c r="BV16" s="1">
        <v>9400</v>
      </c>
      <c r="BW16" s="1">
        <v>8919</v>
      </c>
      <c r="BX16" s="1">
        <v>8415</v>
      </c>
      <c r="BY16" s="1">
        <v>7878</v>
      </c>
      <c r="BZ16" s="1">
        <v>7486</v>
      </c>
      <c r="CA16" s="1">
        <v>6981</v>
      </c>
      <c r="CB16" s="1">
        <v>6479</v>
      </c>
      <c r="CC16" s="1">
        <v>6070</v>
      </c>
      <c r="CD16" s="1">
        <v>5601</v>
      </c>
      <c r="CE16" s="1">
        <v>4994</v>
      </c>
      <c r="CF16" s="1">
        <v>4416</v>
      </c>
      <c r="CG16" s="1">
        <v>3849</v>
      </c>
      <c r="CH16" s="1">
        <v>3526</v>
      </c>
      <c r="CI16" s="1">
        <v>3132</v>
      </c>
      <c r="CJ16" s="1">
        <v>2698</v>
      </c>
      <c r="CK16" s="1">
        <v>2335</v>
      </c>
      <c r="CL16" s="1">
        <v>2052</v>
      </c>
      <c r="CM16" s="1">
        <v>1787</v>
      </c>
      <c r="CN16" s="1">
        <v>1437</v>
      </c>
      <c r="CO16" s="1">
        <v>1209</v>
      </c>
      <c r="CP16" s="1">
        <v>1013</v>
      </c>
      <c r="CQ16" s="1">
        <v>769</v>
      </c>
      <c r="CR16" s="1">
        <v>679</v>
      </c>
      <c r="CS16" s="1">
        <v>544</v>
      </c>
      <c r="CT16" s="1">
        <v>479</v>
      </c>
      <c r="CU16" s="1">
        <v>364</v>
      </c>
      <c r="CV16" s="1">
        <v>305</v>
      </c>
      <c r="CW16" s="1">
        <v>234</v>
      </c>
      <c r="CX16" s="1">
        <v>206</v>
      </c>
      <c r="CY16" s="1">
        <v>176</v>
      </c>
      <c r="CZ16" s="1">
        <v>148</v>
      </c>
      <c r="DA16" s="1">
        <v>100</v>
      </c>
      <c r="DB16">
        <v>34.465811069326101</v>
      </c>
      <c r="DC16">
        <v>0</v>
      </c>
      <c r="DD16">
        <v>22487</v>
      </c>
      <c r="DE16">
        <v>22677</v>
      </c>
      <c r="DF16">
        <v>23231</v>
      </c>
      <c r="DG16">
        <v>24178</v>
      </c>
      <c r="DH16">
        <v>24439</v>
      </c>
      <c r="DI16">
        <v>25350</v>
      </c>
      <c r="DJ16">
        <v>26026</v>
      </c>
      <c r="DK16">
        <v>26864</v>
      </c>
      <c r="DL16">
        <v>27452</v>
      </c>
      <c r="DM16">
        <v>27870</v>
      </c>
      <c r="DN16">
        <v>28223</v>
      </c>
      <c r="DO16">
        <v>28596</v>
      </c>
      <c r="DP16">
        <v>30871</v>
      </c>
      <c r="DQ16">
        <v>51306</v>
      </c>
      <c r="DR16">
        <v>24324</v>
      </c>
      <c r="DS16">
        <v>24151</v>
      </c>
      <c r="DT16">
        <v>23970</v>
      </c>
      <c r="DU16">
        <v>23498</v>
      </c>
      <c r="DV16">
        <v>23104</v>
      </c>
      <c r="DW16">
        <v>22647</v>
      </c>
      <c r="DX16">
        <v>22376</v>
      </c>
      <c r="DY16">
        <v>22090</v>
      </c>
      <c r="DZ16">
        <v>21938</v>
      </c>
      <c r="EA16">
        <v>21755</v>
      </c>
      <c r="EB16">
        <v>21757</v>
      </c>
      <c r="EC16">
        <v>21739</v>
      </c>
      <c r="ED16">
        <v>22101</v>
      </c>
      <c r="EE16">
        <v>22611</v>
      </c>
      <c r="EF16">
        <v>23254</v>
      </c>
      <c r="EG16">
        <v>23841</v>
      </c>
      <c r="EH16">
        <v>24241</v>
      </c>
      <c r="EI16">
        <v>24724</v>
      </c>
      <c r="EJ16">
        <v>25179</v>
      </c>
      <c r="EK16">
        <v>25635</v>
      </c>
      <c r="EL16">
        <v>26180</v>
      </c>
      <c r="EM16">
        <v>26551</v>
      </c>
      <c r="EN16">
        <v>27328</v>
      </c>
      <c r="EO16">
        <v>28474</v>
      </c>
      <c r="EP16">
        <v>29654</v>
      </c>
      <c r="EQ16">
        <v>30484</v>
      </c>
      <c r="ER16">
        <v>31032</v>
      </c>
      <c r="ES16">
        <v>31359</v>
      </c>
      <c r="ET16">
        <v>31370</v>
      </c>
      <c r="EU16">
        <v>31430</v>
      </c>
      <c r="EV16">
        <v>31363</v>
      </c>
      <c r="EW16">
        <v>31061</v>
      </c>
      <c r="EX16">
        <v>30427</v>
      </c>
      <c r="EY16">
        <v>29485</v>
      </c>
      <c r="EZ16">
        <v>28336</v>
      </c>
      <c r="FA16">
        <v>27277</v>
      </c>
      <c r="FB16">
        <v>26568</v>
      </c>
      <c r="FC16">
        <v>25600</v>
      </c>
      <c r="FD16">
        <v>24443</v>
      </c>
      <c r="FE16">
        <v>23186</v>
      </c>
      <c r="FF16">
        <v>22156</v>
      </c>
      <c r="FG16">
        <v>21028</v>
      </c>
      <c r="FH16">
        <v>19771</v>
      </c>
      <c r="FI16">
        <v>18120</v>
      </c>
      <c r="FJ16">
        <v>16208</v>
      </c>
      <c r="FK16">
        <v>14628</v>
      </c>
      <c r="FL16">
        <v>13454</v>
      </c>
      <c r="FM16">
        <v>12962</v>
      </c>
      <c r="FN16">
        <v>12584</v>
      </c>
      <c r="FO16">
        <v>12156</v>
      </c>
      <c r="FP16">
        <v>11941</v>
      </c>
      <c r="FQ16">
        <v>11602</v>
      </c>
      <c r="FR16">
        <v>11228</v>
      </c>
      <c r="FS16">
        <v>10728</v>
      </c>
      <c r="FT16">
        <v>10309</v>
      </c>
      <c r="FU16">
        <v>9881</v>
      </c>
      <c r="FV16">
        <v>9452</v>
      </c>
      <c r="FW16">
        <v>8954</v>
      </c>
      <c r="FX16">
        <v>8437</v>
      </c>
      <c r="FY16">
        <v>8011</v>
      </c>
      <c r="FZ16">
        <v>7506</v>
      </c>
      <c r="GA16">
        <v>6932</v>
      </c>
      <c r="GB16">
        <v>6486</v>
      </c>
      <c r="GC16">
        <v>5818</v>
      </c>
      <c r="GD16">
        <v>5319</v>
      </c>
      <c r="GE16">
        <v>4740</v>
      </c>
      <c r="GF16">
        <v>4348</v>
      </c>
      <c r="GG16">
        <v>3968</v>
      </c>
      <c r="GH16">
        <v>3568</v>
      </c>
      <c r="GI16">
        <v>3160</v>
      </c>
      <c r="GJ16">
        <v>2931</v>
      </c>
      <c r="GK16">
        <v>2526</v>
      </c>
      <c r="GL16">
        <v>2161</v>
      </c>
      <c r="GM16">
        <v>1777</v>
      </c>
      <c r="GN16">
        <v>1541</v>
      </c>
      <c r="GO16">
        <v>1249</v>
      </c>
      <c r="GP16">
        <v>1081</v>
      </c>
      <c r="GQ16">
        <v>941</v>
      </c>
      <c r="GR16">
        <v>701</v>
      </c>
      <c r="GS16">
        <v>645</v>
      </c>
      <c r="GT16">
        <v>462</v>
      </c>
      <c r="GU16">
        <v>448</v>
      </c>
      <c r="GV16">
        <v>376</v>
      </c>
      <c r="GW16">
        <v>311</v>
      </c>
      <c r="GX16">
        <v>292</v>
      </c>
      <c r="GY16">
        <v>35.3369668165615</v>
      </c>
      <c r="GZ16">
        <v>1940</v>
      </c>
      <c r="HA16">
        <v>11880</v>
      </c>
      <c r="HB16">
        <v>17311</v>
      </c>
      <c r="HC16">
        <v>10858</v>
      </c>
      <c r="HD16">
        <v>4601</v>
      </c>
      <c r="HE16">
        <v>2085</v>
      </c>
      <c r="HF16">
        <v>579</v>
      </c>
      <c r="HG16">
        <v>0</v>
      </c>
      <c r="HH16">
        <v>2519</v>
      </c>
      <c r="HI16">
        <v>21658</v>
      </c>
      <c r="HJ16">
        <v>16973</v>
      </c>
      <c r="HK16">
        <v>6672</v>
      </c>
      <c r="HL16">
        <v>2699</v>
      </c>
      <c r="HM16">
        <v>703</v>
      </c>
      <c r="HN16">
        <v>48659</v>
      </c>
      <c r="HO16">
        <v>195032</v>
      </c>
      <c r="HP16">
        <v>244508</v>
      </c>
      <c r="HQ16">
        <v>179362</v>
      </c>
      <c r="HR16">
        <v>93694</v>
      </c>
      <c r="HS16">
        <v>39891</v>
      </c>
      <c r="HT16">
        <v>10147</v>
      </c>
      <c r="HU16">
        <v>197000</v>
      </c>
      <c r="HV16">
        <v>184024</v>
      </c>
      <c r="HW16">
        <v>134401</v>
      </c>
      <c r="HX16">
        <v>156940</v>
      </c>
      <c r="HY16">
        <v>83556</v>
      </c>
      <c r="HZ16">
        <v>37055</v>
      </c>
      <c r="IA16">
        <v>7665</v>
      </c>
      <c r="IB16">
        <v>195799</v>
      </c>
      <c r="IC16">
        <v>74080</v>
      </c>
      <c r="ID16">
        <v>51981</v>
      </c>
      <c r="IE16">
        <v>24138</v>
      </c>
      <c r="IF16">
        <v>4430</v>
      </c>
      <c r="IG16">
        <v>5751</v>
      </c>
      <c r="IH16">
        <v>1052</v>
      </c>
      <c r="II16">
        <v>25268</v>
      </c>
      <c r="IJ16">
        <v>74927</v>
      </c>
      <c r="IK16">
        <v>145599</v>
      </c>
      <c r="IL16">
        <v>30514</v>
      </c>
      <c r="IM16">
        <v>4993</v>
      </c>
      <c r="IN16">
        <v>3165</v>
      </c>
      <c r="IO16">
        <v>1194</v>
      </c>
      <c r="IP16">
        <v>24</v>
      </c>
      <c r="IQ16">
        <v>462</v>
      </c>
      <c r="IR16">
        <v>1788</v>
      </c>
      <c r="IS16">
        <v>4596</v>
      </c>
      <c r="IT16">
        <v>8753</v>
      </c>
      <c r="IU16">
        <v>14442</v>
      </c>
      <c r="IV16">
        <v>11764</v>
      </c>
      <c r="IW16">
        <v>0</v>
      </c>
      <c r="IX16">
        <v>337</v>
      </c>
      <c r="IY16">
        <v>4689</v>
      </c>
      <c r="IZ16">
        <v>19930</v>
      </c>
      <c r="JA16">
        <v>26371</v>
      </c>
      <c r="JB16">
        <v>33877</v>
      </c>
      <c r="JC16">
        <v>28568</v>
      </c>
    </row>
    <row r="17" spans="1:263" x14ac:dyDescent="0.3">
      <c r="A17" s="1">
        <v>2005</v>
      </c>
      <c r="B17" s="1">
        <v>3560103</v>
      </c>
      <c r="C17" s="1">
        <v>834038</v>
      </c>
      <c r="D17" s="1">
        <v>1779042</v>
      </c>
      <c r="E17" s="1">
        <v>1781061</v>
      </c>
      <c r="F17" s="1">
        <v>0</v>
      </c>
      <c r="G17" s="1">
        <v>20242</v>
      </c>
      <c r="H17" s="1">
        <v>20630</v>
      </c>
      <c r="I17" s="1">
        <v>20967</v>
      </c>
      <c r="J17" s="1">
        <v>21739</v>
      </c>
      <c r="K17" s="1">
        <v>22177</v>
      </c>
      <c r="L17" s="1">
        <v>22721</v>
      </c>
      <c r="M17" s="1">
        <v>23844</v>
      </c>
      <c r="N17" s="1">
        <v>24163</v>
      </c>
      <c r="O17" s="1">
        <v>24945</v>
      </c>
      <c r="P17" s="1">
        <v>25476</v>
      </c>
      <c r="Q17" s="1">
        <v>26373</v>
      </c>
      <c r="R17" s="1">
        <v>26543</v>
      </c>
      <c r="S17" s="1">
        <v>27448</v>
      </c>
      <c r="T17" s="1">
        <v>30766</v>
      </c>
      <c r="U17" s="1">
        <v>52093</v>
      </c>
      <c r="V17" s="1">
        <v>27120</v>
      </c>
      <c r="W17" s="1">
        <v>26970</v>
      </c>
      <c r="X17" s="1">
        <v>26449</v>
      </c>
      <c r="Y17" s="1">
        <v>26291</v>
      </c>
      <c r="Z17" s="1">
        <v>25749</v>
      </c>
      <c r="AA17" s="1">
        <v>25474</v>
      </c>
      <c r="AB17" s="1">
        <v>25062</v>
      </c>
      <c r="AC17" s="1">
        <v>24781</v>
      </c>
      <c r="AD17" s="1">
        <v>24581</v>
      </c>
      <c r="AE17" s="1">
        <v>24299</v>
      </c>
      <c r="AF17" s="1">
        <v>24294</v>
      </c>
      <c r="AG17" s="1">
        <v>24359</v>
      </c>
      <c r="AH17" s="1">
        <v>24706</v>
      </c>
      <c r="AI17" s="1">
        <v>25069</v>
      </c>
      <c r="AJ17" s="1">
        <v>25841</v>
      </c>
      <c r="AK17" s="1">
        <v>26250</v>
      </c>
      <c r="AL17" s="1">
        <v>26655</v>
      </c>
      <c r="AM17" s="1">
        <v>27101</v>
      </c>
      <c r="AN17" s="1">
        <v>27555</v>
      </c>
      <c r="AO17" s="1">
        <v>27800</v>
      </c>
      <c r="AP17" s="1">
        <v>28196</v>
      </c>
      <c r="AQ17" s="1">
        <v>28617</v>
      </c>
      <c r="AR17" s="1">
        <v>29306</v>
      </c>
      <c r="AS17" s="1">
        <v>30461</v>
      </c>
      <c r="AT17" s="1">
        <v>31402</v>
      </c>
      <c r="AU17" s="1">
        <v>32549</v>
      </c>
      <c r="AV17" s="1">
        <v>32993</v>
      </c>
      <c r="AW17" s="1">
        <v>33102</v>
      </c>
      <c r="AX17" s="1">
        <v>32898</v>
      </c>
      <c r="AY17" s="1">
        <v>32812</v>
      </c>
      <c r="AZ17" s="1">
        <v>32274</v>
      </c>
      <c r="BA17" s="1">
        <v>31593</v>
      </c>
      <c r="BB17" s="1">
        <v>30451</v>
      </c>
      <c r="BC17" s="1">
        <v>29184</v>
      </c>
      <c r="BD17" s="1">
        <v>28047</v>
      </c>
      <c r="BE17" s="1">
        <v>27005</v>
      </c>
      <c r="BF17" s="1">
        <v>26037</v>
      </c>
      <c r="BG17" s="1">
        <v>25155</v>
      </c>
      <c r="BH17" s="1">
        <v>23990</v>
      </c>
      <c r="BI17" s="1">
        <v>22736</v>
      </c>
      <c r="BJ17" s="1">
        <v>21507</v>
      </c>
      <c r="BK17" s="1">
        <v>20184</v>
      </c>
      <c r="BL17" s="1">
        <v>18872</v>
      </c>
      <c r="BM17" s="1">
        <v>17109</v>
      </c>
      <c r="BN17" s="1">
        <v>15405</v>
      </c>
      <c r="BO17" s="1">
        <v>13759</v>
      </c>
      <c r="BP17" s="1">
        <v>12677</v>
      </c>
      <c r="BQ17" s="1">
        <v>12021</v>
      </c>
      <c r="BR17" s="1">
        <v>11531</v>
      </c>
      <c r="BS17" s="1">
        <v>11098</v>
      </c>
      <c r="BT17" s="1">
        <v>10695</v>
      </c>
      <c r="BU17" s="1">
        <v>10306</v>
      </c>
      <c r="BV17" s="1">
        <v>9832</v>
      </c>
      <c r="BW17" s="1">
        <v>9237</v>
      </c>
      <c r="BX17" s="1">
        <v>8742</v>
      </c>
      <c r="BY17" s="1">
        <v>8172</v>
      </c>
      <c r="BZ17" s="1">
        <v>7633</v>
      </c>
      <c r="CA17" s="1">
        <v>7266</v>
      </c>
      <c r="CB17" s="1">
        <v>6767</v>
      </c>
      <c r="CC17" s="1">
        <v>6277</v>
      </c>
      <c r="CD17" s="1">
        <v>5737</v>
      </c>
      <c r="CE17" s="1">
        <v>5298</v>
      </c>
      <c r="CF17" s="1">
        <v>4752</v>
      </c>
      <c r="CG17" s="1">
        <v>4156</v>
      </c>
      <c r="CH17" s="1">
        <v>3643</v>
      </c>
      <c r="CI17" s="1">
        <v>3207</v>
      </c>
      <c r="CJ17" s="1">
        <v>2849</v>
      </c>
      <c r="CK17" s="1">
        <v>2495</v>
      </c>
      <c r="CL17" s="1">
        <v>2144</v>
      </c>
      <c r="CM17" s="1">
        <v>1890</v>
      </c>
      <c r="CN17" s="1">
        <v>1541</v>
      </c>
      <c r="CO17" s="1">
        <v>1233</v>
      </c>
      <c r="CP17" s="1">
        <v>1036</v>
      </c>
      <c r="CQ17" s="1">
        <v>880</v>
      </c>
      <c r="CR17" s="1">
        <v>654</v>
      </c>
      <c r="CS17" s="1">
        <v>572</v>
      </c>
      <c r="CT17" s="1">
        <v>479</v>
      </c>
      <c r="CU17" s="1">
        <v>404</v>
      </c>
      <c r="CV17" s="1">
        <v>311</v>
      </c>
      <c r="CW17" s="1">
        <v>273</v>
      </c>
      <c r="CX17" s="1">
        <v>209</v>
      </c>
      <c r="CY17" s="1">
        <v>181</v>
      </c>
      <c r="CZ17" s="1">
        <v>145</v>
      </c>
      <c r="DA17" s="1">
        <v>134</v>
      </c>
      <c r="DB17">
        <v>34.862553931231098</v>
      </c>
      <c r="DC17">
        <v>0</v>
      </c>
      <c r="DD17">
        <v>21701</v>
      </c>
      <c r="DE17">
        <v>22492</v>
      </c>
      <c r="DF17">
        <v>22685</v>
      </c>
      <c r="DG17">
        <v>23244</v>
      </c>
      <c r="DH17">
        <v>24206</v>
      </c>
      <c r="DI17">
        <v>24476</v>
      </c>
      <c r="DJ17">
        <v>25405</v>
      </c>
      <c r="DK17">
        <v>26089</v>
      </c>
      <c r="DL17">
        <v>26922</v>
      </c>
      <c r="DM17">
        <v>27518</v>
      </c>
      <c r="DN17">
        <v>27953</v>
      </c>
      <c r="DO17">
        <v>28342</v>
      </c>
      <c r="DP17">
        <v>28726</v>
      </c>
      <c r="DQ17">
        <v>31127</v>
      </c>
      <c r="DR17">
        <v>51448</v>
      </c>
      <c r="DS17">
        <v>24460</v>
      </c>
      <c r="DT17">
        <v>24294</v>
      </c>
      <c r="DU17">
        <v>24113</v>
      </c>
      <c r="DV17">
        <v>23612</v>
      </c>
      <c r="DW17">
        <v>23239</v>
      </c>
      <c r="DX17">
        <v>22780</v>
      </c>
      <c r="DY17">
        <v>22504</v>
      </c>
      <c r="DZ17">
        <v>22201</v>
      </c>
      <c r="EA17">
        <v>22066</v>
      </c>
      <c r="EB17">
        <v>21873</v>
      </c>
      <c r="EC17">
        <v>21883</v>
      </c>
      <c r="ED17">
        <v>21877</v>
      </c>
      <c r="EE17">
        <v>22228</v>
      </c>
      <c r="EF17">
        <v>22748</v>
      </c>
      <c r="EG17">
        <v>23395</v>
      </c>
      <c r="EH17">
        <v>23987</v>
      </c>
      <c r="EI17">
        <v>24380</v>
      </c>
      <c r="EJ17">
        <v>24859</v>
      </c>
      <c r="EK17">
        <v>25332</v>
      </c>
      <c r="EL17">
        <v>25793</v>
      </c>
      <c r="EM17">
        <v>26255</v>
      </c>
      <c r="EN17">
        <v>26614</v>
      </c>
      <c r="EO17">
        <v>27408</v>
      </c>
      <c r="EP17">
        <v>28545</v>
      </c>
      <c r="EQ17">
        <v>29734</v>
      </c>
      <c r="ER17">
        <v>30558</v>
      </c>
      <c r="ES17">
        <v>31104</v>
      </c>
      <c r="ET17">
        <v>31438</v>
      </c>
      <c r="EU17">
        <v>31425</v>
      </c>
      <c r="EV17">
        <v>31514</v>
      </c>
      <c r="EW17">
        <v>31435</v>
      </c>
      <c r="EX17">
        <v>31131</v>
      </c>
      <c r="EY17">
        <v>30476</v>
      </c>
      <c r="EZ17">
        <v>29545</v>
      </c>
      <c r="FA17">
        <v>28416</v>
      </c>
      <c r="FB17">
        <v>27310</v>
      </c>
      <c r="FC17">
        <v>26612</v>
      </c>
      <c r="FD17">
        <v>25634</v>
      </c>
      <c r="FE17">
        <v>24462</v>
      </c>
      <c r="FF17">
        <v>23241</v>
      </c>
      <c r="FG17">
        <v>22129</v>
      </c>
      <c r="FH17">
        <v>21015</v>
      </c>
      <c r="FI17">
        <v>19768</v>
      </c>
      <c r="FJ17">
        <v>18091</v>
      </c>
      <c r="FK17">
        <v>16185</v>
      </c>
      <c r="FL17">
        <v>14564</v>
      </c>
      <c r="FM17">
        <v>13423</v>
      </c>
      <c r="FN17">
        <v>12923</v>
      </c>
      <c r="FO17">
        <v>12544</v>
      </c>
      <c r="FP17">
        <v>12117</v>
      </c>
      <c r="FQ17">
        <v>11839</v>
      </c>
      <c r="FR17">
        <v>11522</v>
      </c>
      <c r="FS17">
        <v>11103</v>
      </c>
      <c r="FT17">
        <v>10658</v>
      </c>
      <c r="FU17">
        <v>10228</v>
      </c>
      <c r="FV17">
        <v>9760</v>
      </c>
      <c r="FW17">
        <v>9324</v>
      </c>
      <c r="FX17">
        <v>8799</v>
      </c>
      <c r="FY17">
        <v>8310</v>
      </c>
      <c r="FZ17">
        <v>7880</v>
      </c>
      <c r="GA17">
        <v>7255</v>
      </c>
      <c r="GB17">
        <v>6706</v>
      </c>
      <c r="GC17">
        <v>6300</v>
      </c>
      <c r="GD17">
        <v>5645</v>
      </c>
      <c r="GE17">
        <v>5176</v>
      </c>
      <c r="GF17">
        <v>4494</v>
      </c>
      <c r="GG17">
        <v>4107</v>
      </c>
      <c r="GH17">
        <v>3745</v>
      </c>
      <c r="GI17">
        <v>3369</v>
      </c>
      <c r="GJ17">
        <v>2980</v>
      </c>
      <c r="GK17">
        <v>2564</v>
      </c>
      <c r="GL17">
        <v>2239</v>
      </c>
      <c r="GM17">
        <v>1934</v>
      </c>
      <c r="GN17">
        <v>1591</v>
      </c>
      <c r="GO17">
        <v>1388</v>
      </c>
      <c r="GP17">
        <v>1095</v>
      </c>
      <c r="GQ17">
        <v>961</v>
      </c>
      <c r="GR17">
        <v>841</v>
      </c>
      <c r="GS17">
        <v>610</v>
      </c>
      <c r="GT17">
        <v>585</v>
      </c>
      <c r="GU17">
        <v>403</v>
      </c>
      <c r="GV17">
        <v>407</v>
      </c>
      <c r="GW17">
        <v>325</v>
      </c>
      <c r="GX17">
        <v>286</v>
      </c>
      <c r="GY17">
        <v>35.735460558212502</v>
      </c>
      <c r="GZ17">
        <v>1870</v>
      </c>
      <c r="HA17">
        <v>11739</v>
      </c>
      <c r="HB17">
        <v>18148</v>
      </c>
      <c r="HC17">
        <v>12036</v>
      </c>
      <c r="HD17">
        <v>5117</v>
      </c>
      <c r="HE17">
        <v>2348</v>
      </c>
      <c r="HF17">
        <v>661</v>
      </c>
      <c r="HG17">
        <v>0</v>
      </c>
      <c r="HH17">
        <v>506</v>
      </c>
      <c r="HI17">
        <v>21318</v>
      </c>
      <c r="HJ17">
        <v>18710</v>
      </c>
      <c r="HK17">
        <v>7471</v>
      </c>
      <c r="HL17">
        <v>3119</v>
      </c>
      <c r="HM17">
        <v>781</v>
      </c>
      <c r="HN17">
        <v>47294</v>
      </c>
      <c r="HO17">
        <v>191285</v>
      </c>
      <c r="HP17">
        <v>247599</v>
      </c>
      <c r="HQ17">
        <v>187805</v>
      </c>
      <c r="HR17">
        <v>98009</v>
      </c>
      <c r="HS17">
        <v>42054</v>
      </c>
      <c r="HT17">
        <v>10373</v>
      </c>
      <c r="HU17">
        <v>196791</v>
      </c>
      <c r="HV17">
        <v>207125</v>
      </c>
      <c r="HW17">
        <v>120864</v>
      </c>
      <c r="HX17">
        <v>160566</v>
      </c>
      <c r="HY17">
        <v>87407</v>
      </c>
      <c r="HZ17">
        <v>39242</v>
      </c>
      <c r="IA17">
        <v>8258</v>
      </c>
      <c r="IB17">
        <v>199189</v>
      </c>
      <c r="IC17">
        <v>74339</v>
      </c>
      <c r="ID17">
        <v>51845</v>
      </c>
      <c r="IE17">
        <v>26140</v>
      </c>
      <c r="IF17">
        <v>4642</v>
      </c>
      <c r="IG17">
        <v>5969</v>
      </c>
      <c r="IH17">
        <v>1072</v>
      </c>
      <c r="II17">
        <v>26608</v>
      </c>
      <c r="IJ17">
        <v>48904</v>
      </c>
      <c r="IK17">
        <v>161870</v>
      </c>
      <c r="IL17">
        <v>37803</v>
      </c>
      <c r="IM17">
        <v>5508</v>
      </c>
      <c r="IN17">
        <v>3512</v>
      </c>
      <c r="IO17">
        <v>1387</v>
      </c>
      <c r="IP17">
        <v>21</v>
      </c>
      <c r="IQ17">
        <v>419</v>
      </c>
      <c r="IR17">
        <v>1666</v>
      </c>
      <c r="IS17">
        <v>4661</v>
      </c>
      <c r="IT17">
        <v>8793</v>
      </c>
      <c r="IU17">
        <v>14429</v>
      </c>
      <c r="IV17">
        <v>12562</v>
      </c>
      <c r="IW17">
        <v>0</v>
      </c>
      <c r="IX17">
        <v>33</v>
      </c>
      <c r="IY17">
        <v>4308</v>
      </c>
      <c r="IZ17">
        <v>19599</v>
      </c>
      <c r="JA17">
        <v>26492</v>
      </c>
      <c r="JB17">
        <v>34334</v>
      </c>
      <c r="JC17">
        <v>29732</v>
      </c>
    </row>
    <row r="18" spans="1:263" x14ac:dyDescent="0.3">
      <c r="A18" s="1">
        <v>2006</v>
      </c>
      <c r="B18" s="1">
        <v>3599061</v>
      </c>
      <c r="C18" s="1">
        <v>900325</v>
      </c>
      <c r="D18" s="1">
        <v>1797548</v>
      </c>
      <c r="E18" s="1">
        <v>1801513</v>
      </c>
      <c r="F18" s="1">
        <v>0</v>
      </c>
      <c r="G18" s="1">
        <v>19677</v>
      </c>
      <c r="H18" s="1">
        <v>20254</v>
      </c>
      <c r="I18" s="1">
        <v>20665</v>
      </c>
      <c r="J18" s="1">
        <v>21009</v>
      </c>
      <c r="K18" s="1">
        <v>21805</v>
      </c>
      <c r="L18" s="1">
        <v>22237</v>
      </c>
      <c r="M18" s="1">
        <v>22796</v>
      </c>
      <c r="N18" s="1">
        <v>23940</v>
      </c>
      <c r="O18" s="1">
        <v>24262</v>
      </c>
      <c r="P18" s="1">
        <v>25065</v>
      </c>
      <c r="Q18" s="1">
        <v>25604</v>
      </c>
      <c r="R18" s="1">
        <v>26520</v>
      </c>
      <c r="S18" s="1">
        <v>26695</v>
      </c>
      <c r="T18" s="1">
        <v>27644</v>
      </c>
      <c r="U18" s="1">
        <v>31143</v>
      </c>
      <c r="V18" s="1">
        <v>52295</v>
      </c>
      <c r="W18" s="1">
        <v>27328</v>
      </c>
      <c r="X18" s="1">
        <v>27239</v>
      </c>
      <c r="Y18" s="1">
        <v>26662</v>
      </c>
      <c r="Z18" s="1">
        <v>26525</v>
      </c>
      <c r="AA18" s="1">
        <v>25966</v>
      </c>
      <c r="AB18" s="1">
        <v>25691</v>
      </c>
      <c r="AC18" s="1">
        <v>25270</v>
      </c>
      <c r="AD18" s="1">
        <v>24988</v>
      </c>
      <c r="AE18" s="1">
        <v>24760</v>
      </c>
      <c r="AF18" s="1">
        <v>24493</v>
      </c>
      <c r="AG18" s="1">
        <v>24484</v>
      </c>
      <c r="AH18" s="1">
        <v>24544</v>
      </c>
      <c r="AI18" s="1">
        <v>24901</v>
      </c>
      <c r="AJ18" s="1">
        <v>25271</v>
      </c>
      <c r="AK18" s="1">
        <v>26076</v>
      </c>
      <c r="AL18" s="1">
        <v>26434</v>
      </c>
      <c r="AM18" s="1">
        <v>26869</v>
      </c>
      <c r="AN18" s="1">
        <v>27311</v>
      </c>
      <c r="AO18" s="1">
        <v>27762</v>
      </c>
      <c r="AP18" s="1">
        <v>27932</v>
      </c>
      <c r="AQ18" s="1">
        <v>28326</v>
      </c>
      <c r="AR18" s="1">
        <v>28751</v>
      </c>
      <c r="AS18" s="1">
        <v>29436</v>
      </c>
      <c r="AT18" s="1">
        <v>30584</v>
      </c>
      <c r="AU18" s="1">
        <v>31463</v>
      </c>
      <c r="AV18" s="1">
        <v>32673</v>
      </c>
      <c r="AW18" s="1">
        <v>33069</v>
      </c>
      <c r="AX18" s="1">
        <v>33161</v>
      </c>
      <c r="AY18" s="1">
        <v>32945</v>
      </c>
      <c r="AZ18" s="1">
        <v>32815</v>
      </c>
      <c r="BA18" s="1">
        <v>32264</v>
      </c>
      <c r="BB18" s="1">
        <v>31571</v>
      </c>
      <c r="BC18" s="1">
        <v>30409</v>
      </c>
      <c r="BD18" s="1">
        <v>29147</v>
      </c>
      <c r="BE18" s="1">
        <v>27937</v>
      </c>
      <c r="BF18" s="1">
        <v>26905</v>
      </c>
      <c r="BG18" s="1">
        <v>25959</v>
      </c>
      <c r="BH18" s="1">
        <v>25080</v>
      </c>
      <c r="BI18" s="1">
        <v>23930</v>
      </c>
      <c r="BJ18" s="1">
        <v>22594</v>
      </c>
      <c r="BK18" s="1">
        <v>21379</v>
      </c>
      <c r="BL18" s="1">
        <v>20040</v>
      </c>
      <c r="BM18" s="1">
        <v>18768</v>
      </c>
      <c r="BN18" s="1">
        <v>17002</v>
      </c>
      <c r="BO18" s="1">
        <v>15238</v>
      </c>
      <c r="BP18" s="1">
        <v>13609</v>
      </c>
      <c r="BQ18" s="1">
        <v>12542</v>
      </c>
      <c r="BR18" s="1">
        <v>11886</v>
      </c>
      <c r="BS18" s="1">
        <v>11407</v>
      </c>
      <c r="BT18" s="1">
        <v>10879</v>
      </c>
      <c r="BU18" s="1">
        <v>10525</v>
      </c>
      <c r="BV18" s="1">
        <v>10100</v>
      </c>
      <c r="BW18" s="1">
        <v>9637</v>
      </c>
      <c r="BX18" s="1">
        <v>9054</v>
      </c>
      <c r="BY18" s="1">
        <v>8498</v>
      </c>
      <c r="BZ18" s="1">
        <v>7902</v>
      </c>
      <c r="CA18" s="1">
        <v>7407</v>
      </c>
      <c r="CB18" s="1">
        <v>7043</v>
      </c>
      <c r="CC18" s="1">
        <v>6551</v>
      </c>
      <c r="CD18" s="1">
        <v>5948</v>
      </c>
      <c r="CE18" s="1">
        <v>5426</v>
      </c>
      <c r="CF18" s="1">
        <v>5031</v>
      </c>
      <c r="CG18" s="1">
        <v>4523</v>
      </c>
      <c r="CH18" s="1">
        <v>3935</v>
      </c>
      <c r="CI18" s="1">
        <v>3334</v>
      </c>
      <c r="CJ18" s="1">
        <v>2962</v>
      </c>
      <c r="CK18" s="1">
        <v>2602</v>
      </c>
      <c r="CL18" s="1">
        <v>2299</v>
      </c>
      <c r="CM18" s="1">
        <v>1965</v>
      </c>
      <c r="CN18" s="1">
        <v>1647</v>
      </c>
      <c r="CO18" s="1">
        <v>1330</v>
      </c>
      <c r="CP18" s="1">
        <v>1071</v>
      </c>
      <c r="CQ18" s="1">
        <v>882</v>
      </c>
      <c r="CR18" s="1">
        <v>756</v>
      </c>
      <c r="CS18" s="1">
        <v>573</v>
      </c>
      <c r="CT18" s="1">
        <v>495</v>
      </c>
      <c r="CU18" s="1">
        <v>411</v>
      </c>
      <c r="CV18" s="1">
        <v>343</v>
      </c>
      <c r="CW18" s="1">
        <v>268</v>
      </c>
      <c r="CX18" s="1">
        <v>236</v>
      </c>
      <c r="CY18" s="1">
        <v>181</v>
      </c>
      <c r="CZ18" s="1">
        <v>157</v>
      </c>
      <c r="DA18" s="1">
        <v>126</v>
      </c>
      <c r="DB18">
        <v>35.264705882352899</v>
      </c>
      <c r="DC18">
        <v>0</v>
      </c>
      <c r="DD18">
        <v>21376</v>
      </c>
      <c r="DE18">
        <v>21706</v>
      </c>
      <c r="DF18">
        <v>22512</v>
      </c>
      <c r="DG18">
        <v>22707</v>
      </c>
      <c r="DH18">
        <v>23268</v>
      </c>
      <c r="DI18">
        <v>24247</v>
      </c>
      <c r="DJ18">
        <v>24512</v>
      </c>
      <c r="DK18">
        <v>25458</v>
      </c>
      <c r="DL18">
        <v>26149</v>
      </c>
      <c r="DM18">
        <v>26972</v>
      </c>
      <c r="DN18">
        <v>27612</v>
      </c>
      <c r="DO18">
        <v>28039</v>
      </c>
      <c r="DP18">
        <v>28449</v>
      </c>
      <c r="DQ18">
        <v>28862</v>
      </c>
      <c r="DR18">
        <v>31365</v>
      </c>
      <c r="DS18">
        <v>51581</v>
      </c>
      <c r="DT18">
        <v>24596</v>
      </c>
      <c r="DU18">
        <v>24423</v>
      </c>
      <c r="DV18">
        <v>24251</v>
      </c>
      <c r="DW18">
        <v>23750</v>
      </c>
      <c r="DX18">
        <v>23359</v>
      </c>
      <c r="DY18">
        <v>22900</v>
      </c>
      <c r="DZ18">
        <v>22615</v>
      </c>
      <c r="EA18">
        <v>22323</v>
      </c>
      <c r="EB18">
        <v>22202</v>
      </c>
      <c r="EC18">
        <v>21992</v>
      </c>
      <c r="ED18">
        <v>22004</v>
      </c>
      <c r="EE18">
        <v>22004</v>
      </c>
      <c r="EF18">
        <v>22370</v>
      </c>
      <c r="EG18">
        <v>22869</v>
      </c>
      <c r="EH18">
        <v>23507</v>
      </c>
      <c r="EI18">
        <v>24126</v>
      </c>
      <c r="EJ18">
        <v>24528</v>
      </c>
      <c r="EK18">
        <v>24989</v>
      </c>
      <c r="EL18">
        <v>25463</v>
      </c>
      <c r="EM18">
        <v>25855</v>
      </c>
      <c r="EN18">
        <v>26332</v>
      </c>
      <c r="EO18">
        <v>26679</v>
      </c>
      <c r="EP18">
        <v>27480</v>
      </c>
      <c r="EQ18">
        <v>28637</v>
      </c>
      <c r="ER18">
        <v>29800</v>
      </c>
      <c r="ES18">
        <v>30649</v>
      </c>
      <c r="ET18">
        <v>31168</v>
      </c>
      <c r="EU18">
        <v>31505</v>
      </c>
      <c r="EV18">
        <v>31519</v>
      </c>
      <c r="EW18">
        <v>31581</v>
      </c>
      <c r="EX18">
        <v>31489</v>
      </c>
      <c r="EY18">
        <v>31190</v>
      </c>
      <c r="EZ18">
        <v>30509</v>
      </c>
      <c r="FA18">
        <v>29597</v>
      </c>
      <c r="FB18">
        <v>28472</v>
      </c>
      <c r="FC18">
        <v>27348</v>
      </c>
      <c r="FD18">
        <v>26631</v>
      </c>
      <c r="FE18">
        <v>25664</v>
      </c>
      <c r="FF18">
        <v>24503</v>
      </c>
      <c r="FG18">
        <v>23228</v>
      </c>
      <c r="FH18">
        <v>22108</v>
      </c>
      <c r="FI18">
        <v>21006</v>
      </c>
      <c r="FJ18">
        <v>19767</v>
      </c>
      <c r="FK18">
        <v>18063</v>
      </c>
      <c r="FL18">
        <v>16131</v>
      </c>
      <c r="FM18">
        <v>14504</v>
      </c>
      <c r="FN18">
        <v>13367</v>
      </c>
      <c r="FO18">
        <v>12902</v>
      </c>
      <c r="FP18">
        <v>12498</v>
      </c>
      <c r="FQ18">
        <v>12032</v>
      </c>
      <c r="FR18">
        <v>11770</v>
      </c>
      <c r="FS18">
        <v>11444</v>
      </c>
      <c r="FT18">
        <v>11000</v>
      </c>
      <c r="FU18">
        <v>10560</v>
      </c>
      <c r="FV18">
        <v>10090</v>
      </c>
      <c r="FW18">
        <v>9585</v>
      </c>
      <c r="FX18">
        <v>9177</v>
      </c>
      <c r="FY18">
        <v>8678</v>
      </c>
      <c r="FZ18">
        <v>8166</v>
      </c>
      <c r="GA18">
        <v>7625</v>
      </c>
      <c r="GB18">
        <v>7038</v>
      </c>
      <c r="GC18">
        <v>6512</v>
      </c>
      <c r="GD18">
        <v>6125</v>
      </c>
      <c r="GE18">
        <v>5486</v>
      </c>
      <c r="GF18">
        <v>4897</v>
      </c>
      <c r="GG18">
        <v>4280</v>
      </c>
      <c r="GH18">
        <v>3910</v>
      </c>
      <c r="GI18">
        <v>3550</v>
      </c>
      <c r="GJ18">
        <v>3185</v>
      </c>
      <c r="GK18">
        <v>2651</v>
      </c>
      <c r="GL18">
        <v>2252</v>
      </c>
      <c r="GM18">
        <v>2016</v>
      </c>
      <c r="GN18">
        <v>1717</v>
      </c>
      <c r="GO18">
        <v>1417</v>
      </c>
      <c r="GP18">
        <v>1251</v>
      </c>
      <c r="GQ18">
        <v>957</v>
      </c>
      <c r="GR18">
        <v>857</v>
      </c>
      <c r="GS18">
        <v>755</v>
      </c>
      <c r="GT18">
        <v>542</v>
      </c>
      <c r="GU18">
        <v>512</v>
      </c>
      <c r="GV18">
        <v>359</v>
      </c>
      <c r="GW18">
        <v>367</v>
      </c>
      <c r="GX18">
        <v>293</v>
      </c>
      <c r="GY18">
        <v>36.141386217147499</v>
      </c>
      <c r="GZ18">
        <v>1858</v>
      </c>
      <c r="HA18">
        <v>11712</v>
      </c>
      <c r="HB18">
        <v>18828</v>
      </c>
      <c r="HC18">
        <v>13267</v>
      </c>
      <c r="HD18">
        <v>5647</v>
      </c>
      <c r="HE18">
        <v>2636</v>
      </c>
      <c r="HF18">
        <v>713</v>
      </c>
      <c r="HG18">
        <v>0</v>
      </c>
      <c r="HH18">
        <v>305</v>
      </c>
      <c r="HI18">
        <v>18220</v>
      </c>
      <c r="HJ18">
        <v>20553</v>
      </c>
      <c r="HK18">
        <v>8394</v>
      </c>
      <c r="HL18">
        <v>3475</v>
      </c>
      <c r="HM18">
        <v>910</v>
      </c>
      <c r="HN18">
        <v>45992</v>
      </c>
      <c r="HO18">
        <v>187663</v>
      </c>
      <c r="HP18">
        <v>249406</v>
      </c>
      <c r="HQ18">
        <v>196246</v>
      </c>
      <c r="HR18">
        <v>102761</v>
      </c>
      <c r="HS18">
        <v>44272</v>
      </c>
      <c r="HT18">
        <v>10707</v>
      </c>
      <c r="HU18">
        <v>197553</v>
      </c>
      <c r="HV18">
        <v>221793</v>
      </c>
      <c r="HW18">
        <v>137675</v>
      </c>
      <c r="HX18">
        <v>163511</v>
      </c>
      <c r="HY18">
        <v>91356</v>
      </c>
      <c r="HZ18">
        <v>41367</v>
      </c>
      <c r="IA18">
        <v>8937</v>
      </c>
      <c r="IB18">
        <v>203746</v>
      </c>
      <c r="IC18">
        <v>74380</v>
      </c>
      <c r="ID18">
        <v>51192</v>
      </c>
      <c r="IE18">
        <v>27540</v>
      </c>
      <c r="IF18">
        <v>5578</v>
      </c>
      <c r="IG18">
        <v>6049</v>
      </c>
      <c r="IH18">
        <v>1297</v>
      </c>
      <c r="II18">
        <v>27966</v>
      </c>
      <c r="IJ18">
        <v>29706</v>
      </c>
      <c r="IK18">
        <v>148539</v>
      </c>
      <c r="IL18">
        <v>46410</v>
      </c>
      <c r="IM18">
        <v>6074</v>
      </c>
      <c r="IN18">
        <v>3923</v>
      </c>
      <c r="IO18">
        <v>1562</v>
      </c>
      <c r="IP18">
        <v>26</v>
      </c>
      <c r="IQ18">
        <v>413</v>
      </c>
      <c r="IR18">
        <v>1528</v>
      </c>
      <c r="IS18">
        <v>4686</v>
      </c>
      <c r="IT18">
        <v>8839</v>
      </c>
      <c r="IU18">
        <v>14426</v>
      </c>
      <c r="IV18">
        <v>13300</v>
      </c>
      <c r="IW18">
        <v>0</v>
      </c>
      <c r="IX18">
        <v>24</v>
      </c>
      <c r="IY18">
        <v>3613</v>
      </c>
      <c r="IZ18">
        <v>17850</v>
      </c>
      <c r="JA18">
        <v>27887</v>
      </c>
      <c r="JB18">
        <v>34791</v>
      </c>
      <c r="JC18">
        <v>31034</v>
      </c>
    </row>
    <row r="19" spans="1:263" x14ac:dyDescent="0.3">
      <c r="A19" s="1">
        <v>2007</v>
      </c>
      <c r="B19" s="1">
        <v>3636797</v>
      </c>
      <c r="C19" s="1">
        <v>981622</v>
      </c>
      <c r="D19" s="1">
        <v>1815737</v>
      </c>
      <c r="E19" s="1">
        <v>1821060</v>
      </c>
      <c r="F19" s="1">
        <v>0</v>
      </c>
      <c r="G19" s="1">
        <v>19671</v>
      </c>
      <c r="H19" s="1">
        <v>19692</v>
      </c>
      <c r="I19" s="1">
        <v>20283</v>
      </c>
      <c r="J19" s="1">
        <v>20703</v>
      </c>
      <c r="K19" s="1">
        <v>21051</v>
      </c>
      <c r="L19" s="1">
        <v>21868</v>
      </c>
      <c r="M19" s="1">
        <v>22299</v>
      </c>
      <c r="N19" s="1">
        <v>22884</v>
      </c>
      <c r="O19" s="1">
        <v>24029</v>
      </c>
      <c r="P19" s="1">
        <v>24376</v>
      </c>
      <c r="Q19" s="1">
        <v>25213</v>
      </c>
      <c r="R19" s="1">
        <v>25729</v>
      </c>
      <c r="S19" s="1">
        <v>26671</v>
      </c>
      <c r="T19" s="1">
        <v>26865</v>
      </c>
      <c r="U19" s="1">
        <v>27838</v>
      </c>
      <c r="V19" s="1">
        <v>31560</v>
      </c>
      <c r="W19" s="1">
        <v>52507</v>
      </c>
      <c r="X19" s="1">
        <v>27576</v>
      </c>
      <c r="Y19" s="1">
        <v>27462</v>
      </c>
      <c r="Z19" s="1">
        <v>26883</v>
      </c>
      <c r="AA19" s="1">
        <v>26713</v>
      </c>
      <c r="AB19" s="1">
        <v>26159</v>
      </c>
      <c r="AC19" s="1">
        <v>25866</v>
      </c>
      <c r="AD19" s="1">
        <v>25437</v>
      </c>
      <c r="AE19" s="1">
        <v>25196</v>
      </c>
      <c r="AF19" s="1">
        <v>24959</v>
      </c>
      <c r="AG19" s="1">
        <v>24677</v>
      </c>
      <c r="AH19" s="1">
        <v>24665</v>
      </c>
      <c r="AI19" s="1">
        <v>24736</v>
      </c>
      <c r="AJ19" s="1">
        <v>25099</v>
      </c>
      <c r="AK19" s="1">
        <v>25483</v>
      </c>
      <c r="AL19" s="1">
        <v>26295</v>
      </c>
      <c r="AM19" s="1">
        <v>26643</v>
      </c>
      <c r="AN19" s="1">
        <v>27075</v>
      </c>
      <c r="AO19" s="1">
        <v>27525</v>
      </c>
      <c r="AP19" s="1">
        <v>27892</v>
      </c>
      <c r="AQ19" s="1">
        <v>28071</v>
      </c>
      <c r="AR19" s="1">
        <v>28432</v>
      </c>
      <c r="AS19" s="1">
        <v>28874</v>
      </c>
      <c r="AT19" s="1">
        <v>29558</v>
      </c>
      <c r="AU19" s="1">
        <v>30684</v>
      </c>
      <c r="AV19" s="1">
        <v>31541</v>
      </c>
      <c r="AW19" s="1">
        <v>32747</v>
      </c>
      <c r="AX19" s="1">
        <v>33144</v>
      </c>
      <c r="AY19" s="1">
        <v>33201</v>
      </c>
      <c r="AZ19" s="1">
        <v>32990</v>
      </c>
      <c r="BA19" s="1">
        <v>32822</v>
      </c>
      <c r="BB19" s="1">
        <v>32240</v>
      </c>
      <c r="BC19" s="1">
        <v>31558</v>
      </c>
      <c r="BD19" s="1">
        <v>30391</v>
      </c>
      <c r="BE19" s="1">
        <v>29048</v>
      </c>
      <c r="BF19" s="1">
        <v>27856</v>
      </c>
      <c r="BG19" s="1">
        <v>26812</v>
      </c>
      <c r="BH19" s="1">
        <v>25881</v>
      </c>
      <c r="BI19" s="1">
        <v>25004</v>
      </c>
      <c r="BJ19" s="1">
        <v>23772</v>
      </c>
      <c r="BK19" s="1">
        <v>22472</v>
      </c>
      <c r="BL19" s="1">
        <v>21254</v>
      </c>
      <c r="BM19" s="1">
        <v>19909</v>
      </c>
      <c r="BN19" s="1">
        <v>18664</v>
      </c>
      <c r="BO19" s="1">
        <v>16802</v>
      </c>
      <c r="BP19" s="1">
        <v>15070</v>
      </c>
      <c r="BQ19" s="1">
        <v>13485</v>
      </c>
      <c r="BR19" s="1">
        <v>12397</v>
      </c>
      <c r="BS19" s="1">
        <v>11745</v>
      </c>
      <c r="BT19" s="1">
        <v>11179</v>
      </c>
      <c r="BU19" s="1">
        <v>10659</v>
      </c>
      <c r="BV19" s="1">
        <v>10349</v>
      </c>
      <c r="BW19" s="1">
        <v>9893</v>
      </c>
      <c r="BX19" s="1">
        <v>9469</v>
      </c>
      <c r="BY19" s="1">
        <v>8810</v>
      </c>
      <c r="BZ19" s="1">
        <v>8226</v>
      </c>
      <c r="CA19" s="1">
        <v>7665</v>
      </c>
      <c r="CB19" s="1">
        <v>7192</v>
      </c>
      <c r="CC19" s="1">
        <v>6843</v>
      </c>
      <c r="CD19" s="1">
        <v>6217</v>
      </c>
      <c r="CE19" s="1">
        <v>5632</v>
      </c>
      <c r="CF19" s="1">
        <v>5193</v>
      </c>
      <c r="CG19" s="1">
        <v>4826</v>
      </c>
      <c r="CH19" s="1">
        <v>4305</v>
      </c>
      <c r="CI19" s="1">
        <v>3608</v>
      </c>
      <c r="CJ19" s="1">
        <v>3054</v>
      </c>
      <c r="CK19" s="1">
        <v>2694</v>
      </c>
      <c r="CL19" s="1">
        <v>2391</v>
      </c>
      <c r="CM19" s="1">
        <v>2111</v>
      </c>
      <c r="CN19" s="1">
        <v>1680</v>
      </c>
      <c r="CO19" s="1">
        <v>1423</v>
      </c>
      <c r="CP19" s="1">
        <v>1159</v>
      </c>
      <c r="CQ19" s="1">
        <v>918</v>
      </c>
      <c r="CR19" s="1">
        <v>757</v>
      </c>
      <c r="CS19" s="1">
        <v>657</v>
      </c>
      <c r="CT19" s="1">
        <v>513</v>
      </c>
      <c r="CU19" s="1">
        <v>434</v>
      </c>
      <c r="CV19" s="1">
        <v>349</v>
      </c>
      <c r="CW19" s="1">
        <v>293</v>
      </c>
      <c r="CX19" s="1">
        <v>229</v>
      </c>
      <c r="CY19" s="1">
        <v>213</v>
      </c>
      <c r="CZ19" s="1">
        <v>162</v>
      </c>
      <c r="DA19" s="1">
        <v>134</v>
      </c>
      <c r="DB19">
        <v>35.667508611804102</v>
      </c>
      <c r="DC19">
        <v>0</v>
      </c>
      <c r="DD19">
        <v>21118</v>
      </c>
      <c r="DE19">
        <v>21385</v>
      </c>
      <c r="DF19">
        <v>21721</v>
      </c>
      <c r="DG19">
        <v>22534</v>
      </c>
      <c r="DH19">
        <v>22732</v>
      </c>
      <c r="DI19">
        <v>23301</v>
      </c>
      <c r="DJ19">
        <v>24304</v>
      </c>
      <c r="DK19">
        <v>24567</v>
      </c>
      <c r="DL19">
        <v>25514</v>
      </c>
      <c r="DM19">
        <v>26206</v>
      </c>
      <c r="DN19">
        <v>27051</v>
      </c>
      <c r="DO19">
        <v>27678</v>
      </c>
      <c r="DP19">
        <v>28132</v>
      </c>
      <c r="DQ19">
        <v>28558</v>
      </c>
      <c r="DR19">
        <v>28997</v>
      </c>
      <c r="DS19">
        <v>31606</v>
      </c>
      <c r="DT19">
        <v>51723</v>
      </c>
      <c r="DU19">
        <v>24731</v>
      </c>
      <c r="DV19">
        <v>24549</v>
      </c>
      <c r="DW19">
        <v>24374</v>
      </c>
      <c r="DX19">
        <v>23899</v>
      </c>
      <c r="DY19">
        <v>23459</v>
      </c>
      <c r="DZ19">
        <v>23027</v>
      </c>
      <c r="EA19">
        <v>22726</v>
      </c>
      <c r="EB19">
        <v>22448</v>
      </c>
      <c r="EC19">
        <v>22316</v>
      </c>
      <c r="ED19">
        <v>22100</v>
      </c>
      <c r="EE19">
        <v>22112</v>
      </c>
      <c r="EF19">
        <v>22127</v>
      </c>
      <c r="EG19">
        <v>22481</v>
      </c>
      <c r="EH19">
        <v>22985</v>
      </c>
      <c r="EI19">
        <v>23632</v>
      </c>
      <c r="EJ19">
        <v>24263</v>
      </c>
      <c r="EK19">
        <v>24652</v>
      </c>
      <c r="EL19">
        <v>25133</v>
      </c>
      <c r="EM19">
        <v>25528</v>
      </c>
      <c r="EN19">
        <v>25924</v>
      </c>
      <c r="EO19">
        <v>26392</v>
      </c>
      <c r="EP19">
        <v>26747</v>
      </c>
      <c r="EQ19">
        <v>27554</v>
      </c>
      <c r="ER19">
        <v>28691</v>
      </c>
      <c r="ES19">
        <v>29854</v>
      </c>
      <c r="ET19">
        <v>30714</v>
      </c>
      <c r="EU19">
        <v>31249</v>
      </c>
      <c r="EV19">
        <v>31577</v>
      </c>
      <c r="EW19">
        <v>31599</v>
      </c>
      <c r="EX19">
        <v>31629</v>
      </c>
      <c r="EY19">
        <v>31541</v>
      </c>
      <c r="EZ19">
        <v>31232</v>
      </c>
      <c r="FA19">
        <v>30556</v>
      </c>
      <c r="FB19">
        <v>29623</v>
      </c>
      <c r="FC19">
        <v>28474</v>
      </c>
      <c r="FD19">
        <v>27390</v>
      </c>
      <c r="FE19">
        <v>26669</v>
      </c>
      <c r="FF19">
        <v>25688</v>
      </c>
      <c r="FG19">
        <v>24492</v>
      </c>
      <c r="FH19">
        <v>23218</v>
      </c>
      <c r="FI19">
        <v>22078</v>
      </c>
      <c r="FJ19">
        <v>21001</v>
      </c>
      <c r="FK19">
        <v>19737</v>
      </c>
      <c r="FL19">
        <v>18015</v>
      </c>
      <c r="FM19">
        <v>16079</v>
      </c>
      <c r="FN19">
        <v>14460</v>
      </c>
      <c r="FO19">
        <v>13295</v>
      </c>
      <c r="FP19">
        <v>12851</v>
      </c>
      <c r="FQ19">
        <v>12417</v>
      </c>
      <c r="FR19">
        <v>11934</v>
      </c>
      <c r="FS19">
        <v>11670</v>
      </c>
      <c r="FT19">
        <v>11364</v>
      </c>
      <c r="FU19">
        <v>10931</v>
      </c>
      <c r="FV19">
        <v>10408</v>
      </c>
      <c r="FW19">
        <v>9939</v>
      </c>
      <c r="FX19">
        <v>9442</v>
      </c>
      <c r="FY19">
        <v>9035</v>
      </c>
      <c r="FZ19">
        <v>8569</v>
      </c>
      <c r="GA19">
        <v>7893</v>
      </c>
      <c r="GB19">
        <v>7402</v>
      </c>
      <c r="GC19">
        <v>6825</v>
      </c>
      <c r="GD19">
        <v>6324</v>
      </c>
      <c r="GE19">
        <v>5966</v>
      </c>
      <c r="GF19">
        <v>5227</v>
      </c>
      <c r="GG19">
        <v>4626</v>
      </c>
      <c r="GH19">
        <v>4039</v>
      </c>
      <c r="GI19">
        <v>3708</v>
      </c>
      <c r="GJ19">
        <v>3346</v>
      </c>
      <c r="GK19">
        <v>2825</v>
      </c>
      <c r="GL19">
        <v>2351</v>
      </c>
      <c r="GM19">
        <v>2010</v>
      </c>
      <c r="GN19">
        <v>1773</v>
      </c>
      <c r="GO19">
        <v>1531</v>
      </c>
      <c r="GP19">
        <v>1272</v>
      </c>
      <c r="GQ19">
        <v>1106</v>
      </c>
      <c r="GR19">
        <v>850</v>
      </c>
      <c r="GS19">
        <v>763</v>
      </c>
      <c r="GT19">
        <v>654</v>
      </c>
      <c r="GU19">
        <v>463</v>
      </c>
      <c r="GV19">
        <v>468</v>
      </c>
      <c r="GW19">
        <v>315</v>
      </c>
      <c r="GX19">
        <v>323</v>
      </c>
      <c r="GY19">
        <v>36.545977039917702</v>
      </c>
      <c r="GZ19">
        <v>1845</v>
      </c>
      <c r="HA19">
        <v>11555</v>
      </c>
      <c r="HB19">
        <v>19331</v>
      </c>
      <c r="HC19">
        <v>14563</v>
      </c>
      <c r="HD19">
        <v>6289</v>
      </c>
      <c r="HE19">
        <v>2922</v>
      </c>
      <c r="HF19">
        <v>835</v>
      </c>
      <c r="HG19">
        <v>0</v>
      </c>
      <c r="HH19">
        <v>239</v>
      </c>
      <c r="HI19">
        <v>14645</v>
      </c>
      <c r="HJ19">
        <v>22476</v>
      </c>
      <c r="HK19">
        <v>9417</v>
      </c>
      <c r="HL19">
        <v>3880</v>
      </c>
      <c r="HM19">
        <v>1051</v>
      </c>
      <c r="HN19">
        <v>45309</v>
      </c>
      <c r="HO19">
        <v>184415</v>
      </c>
      <c r="HP19">
        <v>249449</v>
      </c>
      <c r="HQ19">
        <v>205005</v>
      </c>
      <c r="HR19">
        <v>108043</v>
      </c>
      <c r="HS19">
        <v>46561</v>
      </c>
      <c r="HT19">
        <v>11091</v>
      </c>
      <c r="HU19">
        <v>199162</v>
      </c>
      <c r="HV19">
        <v>216713</v>
      </c>
      <c r="HW19">
        <v>175111</v>
      </c>
      <c r="HX19">
        <v>166079</v>
      </c>
      <c r="HY19">
        <v>95343</v>
      </c>
      <c r="HZ19">
        <v>43429</v>
      </c>
      <c r="IA19">
        <v>9702</v>
      </c>
      <c r="IB19">
        <v>208109</v>
      </c>
      <c r="IC19">
        <v>75020</v>
      </c>
      <c r="ID19">
        <v>50313</v>
      </c>
      <c r="IE19">
        <v>28152</v>
      </c>
      <c r="IF19">
        <v>7115</v>
      </c>
      <c r="IG19">
        <v>6083</v>
      </c>
      <c r="IH19">
        <v>1704</v>
      </c>
      <c r="II19">
        <v>29426</v>
      </c>
      <c r="IJ19">
        <v>30768</v>
      </c>
      <c r="IK19">
        <v>113063</v>
      </c>
      <c r="IL19">
        <v>55674</v>
      </c>
      <c r="IM19">
        <v>6755</v>
      </c>
      <c r="IN19">
        <v>4256</v>
      </c>
      <c r="IO19">
        <v>1799</v>
      </c>
      <c r="IP19">
        <v>28</v>
      </c>
      <c r="IQ19">
        <v>399</v>
      </c>
      <c r="IR19">
        <v>1392</v>
      </c>
      <c r="IS19">
        <v>4679</v>
      </c>
      <c r="IT19">
        <v>8796</v>
      </c>
      <c r="IU19">
        <v>14507</v>
      </c>
      <c r="IV19">
        <v>13950</v>
      </c>
      <c r="IW19">
        <v>0</v>
      </c>
      <c r="IX19">
        <v>17</v>
      </c>
      <c r="IY19">
        <v>2821</v>
      </c>
      <c r="IZ19">
        <v>14960</v>
      </c>
      <c r="JA19">
        <v>30307</v>
      </c>
      <c r="JB19">
        <v>35203</v>
      </c>
      <c r="JC19">
        <v>32357</v>
      </c>
    </row>
    <row r="20" spans="1:263" x14ac:dyDescent="0.3">
      <c r="A20" s="1">
        <v>2008</v>
      </c>
      <c r="B20" s="1">
        <v>3673974</v>
      </c>
      <c r="C20" s="1">
        <v>1075922</v>
      </c>
      <c r="D20" s="1">
        <v>1833570</v>
      </c>
      <c r="E20" s="1">
        <v>1840404</v>
      </c>
      <c r="F20" s="1">
        <v>0</v>
      </c>
      <c r="G20" s="1">
        <v>19586</v>
      </c>
      <c r="H20" s="1">
        <v>19685</v>
      </c>
      <c r="I20" s="1">
        <v>19722</v>
      </c>
      <c r="J20" s="1">
        <v>20319</v>
      </c>
      <c r="K20" s="1">
        <v>20762</v>
      </c>
      <c r="L20" s="1">
        <v>21128</v>
      </c>
      <c r="M20" s="1">
        <v>21948</v>
      </c>
      <c r="N20" s="1">
        <v>22370</v>
      </c>
      <c r="O20" s="1">
        <v>22970</v>
      </c>
      <c r="P20" s="1">
        <v>24148</v>
      </c>
      <c r="Q20" s="1">
        <v>24502</v>
      </c>
      <c r="R20" s="1">
        <v>25329</v>
      </c>
      <c r="S20" s="1">
        <v>25887</v>
      </c>
      <c r="T20" s="1">
        <v>26831</v>
      </c>
      <c r="U20" s="1">
        <v>27057</v>
      </c>
      <c r="V20" s="1">
        <v>28048</v>
      </c>
      <c r="W20" s="1">
        <v>31981</v>
      </c>
      <c r="X20" s="1">
        <v>52732</v>
      </c>
      <c r="Y20" s="1">
        <v>27797</v>
      </c>
      <c r="Z20" s="1">
        <v>27671</v>
      </c>
      <c r="AA20" s="1">
        <v>27098</v>
      </c>
      <c r="AB20" s="1">
        <v>26926</v>
      </c>
      <c r="AC20" s="1">
        <v>26364</v>
      </c>
      <c r="AD20" s="1">
        <v>26055</v>
      </c>
      <c r="AE20" s="1">
        <v>25656</v>
      </c>
      <c r="AF20" s="1">
        <v>25422</v>
      </c>
      <c r="AG20" s="1">
        <v>25170</v>
      </c>
      <c r="AH20" s="1">
        <v>24894</v>
      </c>
      <c r="AI20" s="1">
        <v>24870</v>
      </c>
      <c r="AJ20" s="1">
        <v>24951</v>
      </c>
      <c r="AK20" s="1">
        <v>25306</v>
      </c>
      <c r="AL20" s="1">
        <v>25662</v>
      </c>
      <c r="AM20" s="1">
        <v>26488</v>
      </c>
      <c r="AN20" s="1">
        <v>26878</v>
      </c>
      <c r="AO20" s="1">
        <v>27294</v>
      </c>
      <c r="AP20" s="1">
        <v>27676</v>
      </c>
      <c r="AQ20" s="1">
        <v>28007</v>
      </c>
      <c r="AR20" s="1">
        <v>28189</v>
      </c>
      <c r="AS20" s="1">
        <v>28515</v>
      </c>
      <c r="AT20" s="1">
        <v>28973</v>
      </c>
      <c r="AU20" s="1">
        <v>29647</v>
      </c>
      <c r="AV20" s="1">
        <v>30760</v>
      </c>
      <c r="AW20" s="1">
        <v>31602</v>
      </c>
      <c r="AX20" s="1">
        <v>32821</v>
      </c>
      <c r="AY20" s="1">
        <v>33195</v>
      </c>
      <c r="AZ20" s="1">
        <v>33220</v>
      </c>
      <c r="BA20" s="1">
        <v>33008</v>
      </c>
      <c r="BB20" s="1">
        <v>32811</v>
      </c>
      <c r="BC20" s="1">
        <v>32230</v>
      </c>
      <c r="BD20" s="1">
        <v>31536</v>
      </c>
      <c r="BE20" s="1">
        <v>30299</v>
      </c>
      <c r="BF20" s="1">
        <v>28959</v>
      </c>
      <c r="BG20" s="1">
        <v>27777</v>
      </c>
      <c r="BH20" s="1">
        <v>26722</v>
      </c>
      <c r="BI20" s="1">
        <v>25797</v>
      </c>
      <c r="BJ20" s="1">
        <v>24841</v>
      </c>
      <c r="BK20" s="1">
        <v>23651</v>
      </c>
      <c r="BL20" s="1">
        <v>22366</v>
      </c>
      <c r="BM20" s="1">
        <v>21119</v>
      </c>
      <c r="BN20" s="1">
        <v>19800</v>
      </c>
      <c r="BO20" s="1">
        <v>18463</v>
      </c>
      <c r="BP20" s="1">
        <v>16617</v>
      </c>
      <c r="BQ20" s="1">
        <v>14903</v>
      </c>
      <c r="BR20" s="1">
        <v>13341</v>
      </c>
      <c r="BS20" s="1">
        <v>12273</v>
      </c>
      <c r="BT20" s="1">
        <v>11526</v>
      </c>
      <c r="BU20" s="1">
        <v>10966</v>
      </c>
      <c r="BV20" s="1">
        <v>10482</v>
      </c>
      <c r="BW20" s="1">
        <v>10168</v>
      </c>
      <c r="BX20" s="1">
        <v>9697</v>
      </c>
      <c r="BY20" s="1">
        <v>9168</v>
      </c>
      <c r="BZ20" s="1">
        <v>8568</v>
      </c>
      <c r="CA20" s="1">
        <v>7978</v>
      </c>
      <c r="CB20" s="1">
        <v>7421</v>
      </c>
      <c r="CC20" s="1">
        <v>6977</v>
      </c>
      <c r="CD20" s="1">
        <v>6501</v>
      </c>
      <c r="CE20" s="1">
        <v>5926</v>
      </c>
      <c r="CF20" s="1">
        <v>5361</v>
      </c>
      <c r="CG20" s="1">
        <v>4916</v>
      </c>
      <c r="CH20" s="1">
        <v>4607</v>
      </c>
      <c r="CI20" s="1">
        <v>3943</v>
      </c>
      <c r="CJ20" s="1">
        <v>3289</v>
      </c>
      <c r="CK20" s="1">
        <v>2826</v>
      </c>
      <c r="CL20" s="1">
        <v>2478</v>
      </c>
      <c r="CM20" s="1">
        <v>2189</v>
      </c>
      <c r="CN20" s="1">
        <v>1840</v>
      </c>
      <c r="CO20" s="1">
        <v>1437</v>
      </c>
      <c r="CP20" s="1">
        <v>1212</v>
      </c>
      <c r="CQ20" s="1">
        <v>1010</v>
      </c>
      <c r="CR20" s="1">
        <v>810</v>
      </c>
      <c r="CS20" s="1">
        <v>644</v>
      </c>
      <c r="CT20" s="1">
        <v>556</v>
      </c>
      <c r="CU20" s="1">
        <v>453</v>
      </c>
      <c r="CV20" s="1">
        <v>365</v>
      </c>
      <c r="CW20" s="1">
        <v>305</v>
      </c>
      <c r="CX20" s="1">
        <v>259</v>
      </c>
      <c r="CY20" s="1">
        <v>202</v>
      </c>
      <c r="CZ20" s="1">
        <v>187</v>
      </c>
      <c r="DA20" s="1">
        <v>138</v>
      </c>
      <c r="DB20">
        <v>36.0644201131459</v>
      </c>
      <c r="DC20">
        <v>0</v>
      </c>
      <c r="DD20">
        <v>21178</v>
      </c>
      <c r="DE20">
        <v>21125</v>
      </c>
      <c r="DF20">
        <v>21402</v>
      </c>
      <c r="DG20">
        <v>21739</v>
      </c>
      <c r="DH20">
        <v>22579</v>
      </c>
      <c r="DI20">
        <v>22760</v>
      </c>
      <c r="DJ20">
        <v>23345</v>
      </c>
      <c r="DK20">
        <v>24362</v>
      </c>
      <c r="DL20">
        <v>24625</v>
      </c>
      <c r="DM20">
        <v>25583</v>
      </c>
      <c r="DN20">
        <v>26275</v>
      </c>
      <c r="DO20">
        <v>27143</v>
      </c>
      <c r="DP20">
        <v>27779</v>
      </c>
      <c r="DQ20">
        <v>28219</v>
      </c>
      <c r="DR20">
        <v>28659</v>
      </c>
      <c r="DS20">
        <v>29110</v>
      </c>
      <c r="DT20">
        <v>31831</v>
      </c>
      <c r="DU20">
        <v>51841</v>
      </c>
      <c r="DV20">
        <v>24859</v>
      </c>
      <c r="DW20">
        <v>24695</v>
      </c>
      <c r="DX20">
        <v>24495</v>
      </c>
      <c r="DY20">
        <v>24042</v>
      </c>
      <c r="DZ20">
        <v>23573</v>
      </c>
      <c r="EA20">
        <v>23148</v>
      </c>
      <c r="EB20">
        <v>22845</v>
      </c>
      <c r="EC20">
        <v>22556</v>
      </c>
      <c r="ED20">
        <v>22430</v>
      </c>
      <c r="EE20">
        <v>22221</v>
      </c>
      <c r="EF20">
        <v>22232</v>
      </c>
      <c r="EG20">
        <v>22245</v>
      </c>
      <c r="EH20">
        <v>22596</v>
      </c>
      <c r="EI20">
        <v>23096</v>
      </c>
      <c r="EJ20">
        <v>23752</v>
      </c>
      <c r="EK20">
        <v>24378</v>
      </c>
      <c r="EL20">
        <v>24777</v>
      </c>
      <c r="EM20">
        <v>25197</v>
      </c>
      <c r="EN20">
        <v>25570</v>
      </c>
      <c r="EO20">
        <v>25982</v>
      </c>
      <c r="EP20">
        <v>26476</v>
      </c>
      <c r="EQ20">
        <v>26808</v>
      </c>
      <c r="ER20">
        <v>27621</v>
      </c>
      <c r="ES20">
        <v>28760</v>
      </c>
      <c r="ET20">
        <v>29906</v>
      </c>
      <c r="EU20">
        <v>30779</v>
      </c>
      <c r="EV20">
        <v>31315</v>
      </c>
      <c r="EW20">
        <v>31643</v>
      </c>
      <c r="EX20">
        <v>31634</v>
      </c>
      <c r="EY20">
        <v>31685</v>
      </c>
      <c r="EZ20">
        <v>31590</v>
      </c>
      <c r="FA20">
        <v>31274</v>
      </c>
      <c r="FB20">
        <v>30584</v>
      </c>
      <c r="FC20">
        <v>29655</v>
      </c>
      <c r="FD20">
        <v>28503</v>
      </c>
      <c r="FE20">
        <v>27414</v>
      </c>
      <c r="FF20">
        <v>26667</v>
      </c>
      <c r="FG20">
        <v>25666</v>
      </c>
      <c r="FH20">
        <v>24446</v>
      </c>
      <c r="FI20">
        <v>23209</v>
      </c>
      <c r="FJ20">
        <v>22070</v>
      </c>
      <c r="FK20">
        <v>20981</v>
      </c>
      <c r="FL20">
        <v>19693</v>
      </c>
      <c r="FM20">
        <v>17970</v>
      </c>
      <c r="FN20">
        <v>16029</v>
      </c>
      <c r="FO20">
        <v>14430</v>
      </c>
      <c r="FP20">
        <v>13251</v>
      </c>
      <c r="FQ20">
        <v>12764</v>
      </c>
      <c r="FR20">
        <v>12339</v>
      </c>
      <c r="FS20">
        <v>11847</v>
      </c>
      <c r="FT20">
        <v>11578</v>
      </c>
      <c r="FU20">
        <v>11276</v>
      </c>
      <c r="FV20">
        <v>10784</v>
      </c>
      <c r="FW20">
        <v>10272</v>
      </c>
      <c r="FX20">
        <v>9795</v>
      </c>
      <c r="FY20">
        <v>9291</v>
      </c>
      <c r="FZ20">
        <v>8927</v>
      </c>
      <c r="GA20">
        <v>8320</v>
      </c>
      <c r="GB20">
        <v>7639</v>
      </c>
      <c r="GC20">
        <v>7176</v>
      </c>
      <c r="GD20">
        <v>6620</v>
      </c>
      <c r="GE20">
        <v>6160</v>
      </c>
      <c r="GF20">
        <v>5670</v>
      </c>
      <c r="GG20">
        <v>4944</v>
      </c>
      <c r="GH20">
        <v>4400</v>
      </c>
      <c r="GI20">
        <v>3821</v>
      </c>
      <c r="GJ20">
        <v>3523</v>
      </c>
      <c r="GK20">
        <v>2980</v>
      </c>
      <c r="GL20">
        <v>2511</v>
      </c>
      <c r="GM20">
        <v>2077</v>
      </c>
      <c r="GN20">
        <v>1795</v>
      </c>
      <c r="GO20">
        <v>1589</v>
      </c>
      <c r="GP20">
        <v>1345</v>
      </c>
      <c r="GQ20">
        <v>1118</v>
      </c>
      <c r="GR20">
        <v>984</v>
      </c>
      <c r="GS20">
        <v>753</v>
      </c>
      <c r="GT20">
        <v>676</v>
      </c>
      <c r="GU20">
        <v>574</v>
      </c>
      <c r="GV20">
        <v>413</v>
      </c>
      <c r="GW20">
        <v>419</v>
      </c>
      <c r="GX20">
        <v>281</v>
      </c>
      <c r="GY20">
        <v>36.947419851612104</v>
      </c>
      <c r="GZ20">
        <v>1880</v>
      </c>
      <c r="HA20">
        <v>11363</v>
      </c>
      <c r="HB20">
        <v>19729</v>
      </c>
      <c r="HC20">
        <v>15968</v>
      </c>
      <c r="HD20">
        <v>6946</v>
      </c>
      <c r="HE20">
        <v>3216</v>
      </c>
      <c r="HF20">
        <v>938</v>
      </c>
      <c r="HG20">
        <v>0</v>
      </c>
      <c r="HH20">
        <v>171</v>
      </c>
      <c r="HI20">
        <v>8818</v>
      </c>
      <c r="HJ20">
        <v>24481</v>
      </c>
      <c r="HK20">
        <v>10496</v>
      </c>
      <c r="HL20">
        <v>4317</v>
      </c>
      <c r="HM20">
        <v>1198</v>
      </c>
      <c r="HN20">
        <v>44783</v>
      </c>
      <c r="HO20">
        <v>181398</v>
      </c>
      <c r="HP20">
        <v>248037</v>
      </c>
      <c r="HQ20">
        <v>213722</v>
      </c>
      <c r="HR20">
        <v>113847</v>
      </c>
      <c r="HS20">
        <v>48833</v>
      </c>
      <c r="HT20">
        <v>11664</v>
      </c>
      <c r="HU20">
        <v>201259</v>
      </c>
      <c r="HV20">
        <v>212106</v>
      </c>
      <c r="HW20">
        <v>213413</v>
      </c>
      <c r="HX20">
        <v>167781</v>
      </c>
      <c r="HY20">
        <v>99366</v>
      </c>
      <c r="HZ20">
        <v>45523</v>
      </c>
      <c r="IA20">
        <v>10384</v>
      </c>
      <c r="IB20">
        <v>213430</v>
      </c>
      <c r="IC20">
        <v>75811</v>
      </c>
      <c r="ID20">
        <v>49205</v>
      </c>
      <c r="IE20">
        <v>28614</v>
      </c>
      <c r="IF20">
        <v>8959</v>
      </c>
      <c r="IG20">
        <v>6022</v>
      </c>
      <c r="IH20">
        <v>2108</v>
      </c>
      <c r="II20">
        <v>30978</v>
      </c>
      <c r="IJ20">
        <v>31779</v>
      </c>
      <c r="IK20">
        <v>77859</v>
      </c>
      <c r="IL20">
        <v>65667</v>
      </c>
      <c r="IM20">
        <v>7926</v>
      </c>
      <c r="IN20">
        <v>4624</v>
      </c>
      <c r="IO20">
        <v>2072</v>
      </c>
      <c r="IP20">
        <v>33</v>
      </c>
      <c r="IQ20">
        <v>394</v>
      </c>
      <c r="IR20">
        <v>1296</v>
      </c>
      <c r="IS20">
        <v>4763</v>
      </c>
      <c r="IT20">
        <v>8787</v>
      </c>
      <c r="IU20">
        <v>14442</v>
      </c>
      <c r="IV20">
        <v>14580</v>
      </c>
      <c r="IW20">
        <v>0</v>
      </c>
      <c r="IX20">
        <v>13</v>
      </c>
      <c r="IY20">
        <v>1651</v>
      </c>
      <c r="IZ20">
        <v>11559</v>
      </c>
      <c r="JA20">
        <v>33094</v>
      </c>
      <c r="JB20">
        <v>35636</v>
      </c>
      <c r="JC20">
        <v>33819</v>
      </c>
    </row>
    <row r="21" spans="1:263" x14ac:dyDescent="0.3">
      <c r="A21" s="1">
        <v>2009</v>
      </c>
      <c r="B21" s="1">
        <v>3710389</v>
      </c>
      <c r="C21" s="1">
        <v>1179610</v>
      </c>
      <c r="D21" s="1">
        <v>1850796</v>
      </c>
      <c r="E21" s="1">
        <v>1859593</v>
      </c>
      <c r="F21" s="1">
        <v>0</v>
      </c>
      <c r="G21" s="1">
        <v>19433</v>
      </c>
      <c r="H21" s="1">
        <v>19590</v>
      </c>
      <c r="I21" s="1">
        <v>19705</v>
      </c>
      <c r="J21" s="1">
        <v>19766</v>
      </c>
      <c r="K21" s="1">
        <v>20388</v>
      </c>
      <c r="L21" s="1">
        <v>20840</v>
      </c>
      <c r="M21" s="1">
        <v>21218</v>
      </c>
      <c r="N21" s="1">
        <v>22032</v>
      </c>
      <c r="O21" s="1">
        <v>22481</v>
      </c>
      <c r="P21" s="1">
        <v>23089</v>
      </c>
      <c r="Q21" s="1">
        <v>24272</v>
      </c>
      <c r="R21" s="1">
        <v>24640</v>
      </c>
      <c r="S21" s="1">
        <v>25474</v>
      </c>
      <c r="T21" s="1">
        <v>26033</v>
      </c>
      <c r="U21" s="1">
        <v>27017</v>
      </c>
      <c r="V21" s="1">
        <v>27229</v>
      </c>
      <c r="W21" s="1">
        <v>28286</v>
      </c>
      <c r="X21" s="1">
        <v>32362</v>
      </c>
      <c r="Y21" s="1">
        <v>52981</v>
      </c>
      <c r="Z21" s="1">
        <v>28036</v>
      </c>
      <c r="AA21" s="1">
        <v>27896</v>
      </c>
      <c r="AB21" s="1">
        <v>27297</v>
      </c>
      <c r="AC21" s="1">
        <v>27141</v>
      </c>
      <c r="AD21" s="1">
        <v>26547</v>
      </c>
      <c r="AE21" s="1">
        <v>26257</v>
      </c>
      <c r="AF21" s="1">
        <v>25869</v>
      </c>
      <c r="AG21" s="1">
        <v>25632</v>
      </c>
      <c r="AH21" s="1">
        <v>25338</v>
      </c>
      <c r="AI21" s="1">
        <v>25074</v>
      </c>
      <c r="AJ21" s="1">
        <v>25067</v>
      </c>
      <c r="AK21" s="1">
        <v>25163</v>
      </c>
      <c r="AL21" s="1">
        <v>25497</v>
      </c>
      <c r="AM21" s="1">
        <v>25882</v>
      </c>
      <c r="AN21" s="1">
        <v>26695</v>
      </c>
      <c r="AO21" s="1">
        <v>27075</v>
      </c>
      <c r="AP21" s="1">
        <v>27404</v>
      </c>
      <c r="AQ21" s="1">
        <v>27785</v>
      </c>
      <c r="AR21" s="1">
        <v>28096</v>
      </c>
      <c r="AS21" s="1">
        <v>28301</v>
      </c>
      <c r="AT21" s="1">
        <v>28620</v>
      </c>
      <c r="AU21" s="1">
        <v>29056</v>
      </c>
      <c r="AV21" s="1">
        <v>29728</v>
      </c>
      <c r="AW21" s="1">
        <v>30820</v>
      </c>
      <c r="AX21" s="1">
        <v>31679</v>
      </c>
      <c r="AY21" s="1">
        <v>32870</v>
      </c>
      <c r="AZ21" s="1">
        <v>33215</v>
      </c>
      <c r="BA21" s="1">
        <v>33241</v>
      </c>
      <c r="BB21" s="1">
        <v>33026</v>
      </c>
      <c r="BC21" s="1">
        <v>32802</v>
      </c>
      <c r="BD21" s="1">
        <v>32228</v>
      </c>
      <c r="BE21" s="1">
        <v>31458</v>
      </c>
      <c r="BF21" s="1">
        <v>30187</v>
      </c>
      <c r="BG21" s="1">
        <v>28863</v>
      </c>
      <c r="BH21" s="1">
        <v>27687</v>
      </c>
      <c r="BI21" s="1">
        <v>26632</v>
      </c>
      <c r="BJ21" s="1">
        <v>25638</v>
      </c>
      <c r="BK21" s="1">
        <v>24708</v>
      </c>
      <c r="BL21" s="1">
        <v>23491</v>
      </c>
      <c r="BM21" s="1">
        <v>22235</v>
      </c>
      <c r="BN21" s="1">
        <v>20967</v>
      </c>
      <c r="BO21" s="1">
        <v>19608</v>
      </c>
      <c r="BP21" s="1">
        <v>18247</v>
      </c>
      <c r="BQ21" s="1">
        <v>16442</v>
      </c>
      <c r="BR21" s="1">
        <v>14743</v>
      </c>
      <c r="BS21" s="1">
        <v>13213</v>
      </c>
      <c r="BT21" s="1">
        <v>12028</v>
      </c>
      <c r="BU21" s="1">
        <v>11312</v>
      </c>
      <c r="BV21" s="1">
        <v>10794</v>
      </c>
      <c r="BW21" s="1">
        <v>10302</v>
      </c>
      <c r="BX21" s="1">
        <v>9985</v>
      </c>
      <c r="BY21" s="1">
        <v>9429</v>
      </c>
      <c r="BZ21" s="1">
        <v>8880</v>
      </c>
      <c r="CA21" s="1">
        <v>8330</v>
      </c>
      <c r="CB21" s="1">
        <v>7718</v>
      </c>
      <c r="CC21" s="1">
        <v>7221</v>
      </c>
      <c r="CD21" s="1">
        <v>6632</v>
      </c>
      <c r="CE21" s="1">
        <v>6189</v>
      </c>
      <c r="CF21" s="1">
        <v>5631</v>
      </c>
      <c r="CG21" s="1">
        <v>5088</v>
      </c>
      <c r="CH21" s="1">
        <v>4676</v>
      </c>
      <c r="CI21" s="1">
        <v>4247</v>
      </c>
      <c r="CJ21" s="1">
        <v>3627</v>
      </c>
      <c r="CK21" s="1">
        <v>3040</v>
      </c>
      <c r="CL21" s="1">
        <v>2612</v>
      </c>
      <c r="CM21" s="1">
        <v>2267</v>
      </c>
      <c r="CN21" s="1">
        <v>1889</v>
      </c>
      <c r="CO21" s="1">
        <v>1599</v>
      </c>
      <c r="CP21" s="1">
        <v>1241</v>
      </c>
      <c r="CQ21" s="1">
        <v>1051</v>
      </c>
      <c r="CR21" s="1">
        <v>853</v>
      </c>
      <c r="CS21" s="1">
        <v>708</v>
      </c>
      <c r="CT21" s="1">
        <v>564</v>
      </c>
      <c r="CU21" s="1">
        <v>485</v>
      </c>
      <c r="CV21" s="1">
        <v>392</v>
      </c>
      <c r="CW21" s="1">
        <v>304</v>
      </c>
      <c r="CX21" s="1">
        <v>270</v>
      </c>
      <c r="CY21" s="1">
        <v>220</v>
      </c>
      <c r="CZ21" s="1">
        <v>178</v>
      </c>
      <c r="DA21" s="1">
        <v>153</v>
      </c>
      <c r="DB21">
        <v>36.459837196594698</v>
      </c>
      <c r="DC21">
        <v>0</v>
      </c>
      <c r="DD21">
        <v>21363</v>
      </c>
      <c r="DE21">
        <v>21192</v>
      </c>
      <c r="DF21">
        <v>21144</v>
      </c>
      <c r="DG21">
        <v>21430</v>
      </c>
      <c r="DH21">
        <v>21783</v>
      </c>
      <c r="DI21">
        <v>22605</v>
      </c>
      <c r="DJ21">
        <v>22800</v>
      </c>
      <c r="DK21">
        <v>23401</v>
      </c>
      <c r="DL21">
        <v>24422</v>
      </c>
      <c r="DM21">
        <v>24691</v>
      </c>
      <c r="DN21">
        <v>25651</v>
      </c>
      <c r="DO21">
        <v>26350</v>
      </c>
      <c r="DP21">
        <v>27229</v>
      </c>
      <c r="DQ21">
        <v>27857</v>
      </c>
      <c r="DR21">
        <v>28317</v>
      </c>
      <c r="DS21">
        <v>28773</v>
      </c>
      <c r="DT21">
        <v>29244</v>
      </c>
      <c r="DU21">
        <v>32092</v>
      </c>
      <c r="DV21">
        <v>51967</v>
      </c>
      <c r="DW21">
        <v>24994</v>
      </c>
      <c r="DX21">
        <v>24814</v>
      </c>
      <c r="DY21">
        <v>24615</v>
      </c>
      <c r="DZ21">
        <v>24178</v>
      </c>
      <c r="EA21">
        <v>23682</v>
      </c>
      <c r="EB21">
        <v>23275</v>
      </c>
      <c r="EC21">
        <v>22934</v>
      </c>
      <c r="ED21">
        <v>22668</v>
      </c>
      <c r="EE21">
        <v>22542</v>
      </c>
      <c r="EF21">
        <v>22334</v>
      </c>
      <c r="EG21">
        <v>22343</v>
      </c>
      <c r="EH21">
        <v>22348</v>
      </c>
      <c r="EI21">
        <v>22700</v>
      </c>
      <c r="EJ21">
        <v>23234</v>
      </c>
      <c r="EK21">
        <v>23884</v>
      </c>
      <c r="EL21">
        <v>24524</v>
      </c>
      <c r="EM21">
        <v>24832</v>
      </c>
      <c r="EN21">
        <v>25251</v>
      </c>
      <c r="EO21">
        <v>25606</v>
      </c>
      <c r="EP21">
        <v>26024</v>
      </c>
      <c r="EQ21">
        <v>26557</v>
      </c>
      <c r="ER21">
        <v>26879</v>
      </c>
      <c r="ES21">
        <v>27686</v>
      </c>
      <c r="ET21">
        <v>28806</v>
      </c>
      <c r="EU21">
        <v>29958</v>
      </c>
      <c r="EV21">
        <v>30836</v>
      </c>
      <c r="EW21">
        <v>31396</v>
      </c>
      <c r="EX21">
        <v>31686</v>
      </c>
      <c r="EY21">
        <v>31693</v>
      </c>
      <c r="EZ21">
        <v>31719</v>
      </c>
      <c r="FA21">
        <v>31655</v>
      </c>
      <c r="FB21">
        <v>31288</v>
      </c>
      <c r="FC21">
        <v>30630</v>
      </c>
      <c r="FD21">
        <v>29686</v>
      </c>
      <c r="FE21">
        <v>28526</v>
      </c>
      <c r="FF21">
        <v>27446</v>
      </c>
      <c r="FG21">
        <v>26649</v>
      </c>
      <c r="FH21">
        <v>25645</v>
      </c>
      <c r="FI21">
        <v>24434</v>
      </c>
      <c r="FJ21">
        <v>23197</v>
      </c>
      <c r="FK21">
        <v>22051</v>
      </c>
      <c r="FL21">
        <v>20937</v>
      </c>
      <c r="FM21">
        <v>19628</v>
      </c>
      <c r="FN21">
        <v>17914</v>
      </c>
      <c r="FO21">
        <v>15989</v>
      </c>
      <c r="FP21">
        <v>14392</v>
      </c>
      <c r="FQ21">
        <v>13146</v>
      </c>
      <c r="FR21">
        <v>12668</v>
      </c>
      <c r="FS21">
        <v>12204</v>
      </c>
      <c r="FT21">
        <v>11752</v>
      </c>
      <c r="FU21">
        <v>11498</v>
      </c>
      <c r="FV21">
        <v>11129</v>
      </c>
      <c r="FW21">
        <v>10648</v>
      </c>
      <c r="FX21">
        <v>10123</v>
      </c>
      <c r="FY21">
        <v>9633</v>
      </c>
      <c r="FZ21">
        <v>9168</v>
      </c>
      <c r="GA21">
        <v>8687</v>
      </c>
      <c r="GB21">
        <v>8085</v>
      </c>
      <c r="GC21">
        <v>7445</v>
      </c>
      <c r="GD21">
        <v>6985</v>
      </c>
      <c r="GE21">
        <v>6432</v>
      </c>
      <c r="GF21">
        <v>5807</v>
      </c>
      <c r="GG21">
        <v>5375</v>
      </c>
      <c r="GH21">
        <v>4693</v>
      </c>
      <c r="GI21">
        <v>4189</v>
      </c>
      <c r="GJ21">
        <v>3632</v>
      </c>
      <c r="GK21">
        <v>3103</v>
      </c>
      <c r="GL21">
        <v>2639</v>
      </c>
      <c r="GM21">
        <v>2230</v>
      </c>
      <c r="GN21">
        <v>1830</v>
      </c>
      <c r="GO21">
        <v>1601</v>
      </c>
      <c r="GP21">
        <v>1419</v>
      </c>
      <c r="GQ21">
        <v>1197</v>
      </c>
      <c r="GR21">
        <v>986</v>
      </c>
      <c r="GS21">
        <v>880</v>
      </c>
      <c r="GT21">
        <v>664</v>
      </c>
      <c r="GU21">
        <v>601</v>
      </c>
      <c r="GV21">
        <v>521</v>
      </c>
      <c r="GW21">
        <v>349</v>
      </c>
      <c r="GX21">
        <v>378</v>
      </c>
      <c r="GY21">
        <v>37.342137795447201</v>
      </c>
      <c r="GZ21">
        <v>1884</v>
      </c>
      <c r="HA21">
        <v>11114</v>
      </c>
      <c r="HB21">
        <v>19937</v>
      </c>
      <c r="HC21">
        <v>17500</v>
      </c>
      <c r="HD21">
        <v>7822</v>
      </c>
      <c r="HE21">
        <v>3491</v>
      </c>
      <c r="HF21">
        <v>1050</v>
      </c>
      <c r="HG21">
        <v>0</v>
      </c>
      <c r="HH21">
        <v>82</v>
      </c>
      <c r="HI21">
        <v>2106</v>
      </c>
      <c r="HJ21">
        <v>26488</v>
      </c>
      <c r="HK21">
        <v>11776</v>
      </c>
      <c r="HL21">
        <v>4765</v>
      </c>
      <c r="HM21">
        <v>1390</v>
      </c>
      <c r="HN21">
        <v>44338</v>
      </c>
      <c r="HO21">
        <v>178911</v>
      </c>
      <c r="HP21">
        <v>245826</v>
      </c>
      <c r="HQ21">
        <v>222009</v>
      </c>
      <c r="HR21">
        <v>119908</v>
      </c>
      <c r="HS21">
        <v>51195</v>
      </c>
      <c r="HT21">
        <v>12249</v>
      </c>
      <c r="HU21">
        <v>203497</v>
      </c>
      <c r="HV21">
        <v>207959</v>
      </c>
      <c r="HW21">
        <v>253858</v>
      </c>
      <c r="HX21">
        <v>168077</v>
      </c>
      <c r="HY21">
        <v>103257</v>
      </c>
      <c r="HZ21">
        <v>47357</v>
      </c>
      <c r="IA21">
        <v>11159</v>
      </c>
      <c r="IB21">
        <v>218819</v>
      </c>
      <c r="IC21">
        <v>76538</v>
      </c>
      <c r="ID21">
        <v>48111</v>
      </c>
      <c r="IE21">
        <v>28829</v>
      </c>
      <c r="IF21">
        <v>11129</v>
      </c>
      <c r="IG21">
        <v>5804</v>
      </c>
      <c r="IH21">
        <v>2471</v>
      </c>
      <c r="II21">
        <v>32539</v>
      </c>
      <c r="IJ21">
        <v>32698</v>
      </c>
      <c r="IK21">
        <v>41005</v>
      </c>
      <c r="IL21">
        <v>73146</v>
      </c>
      <c r="IM21">
        <v>12989</v>
      </c>
      <c r="IN21">
        <v>5084</v>
      </c>
      <c r="IO21">
        <v>2320</v>
      </c>
      <c r="IP21">
        <v>46</v>
      </c>
      <c r="IQ21">
        <v>402</v>
      </c>
      <c r="IR21">
        <v>1183</v>
      </c>
      <c r="IS21">
        <v>4789</v>
      </c>
      <c r="IT21">
        <v>8797</v>
      </c>
      <c r="IU21">
        <v>14613</v>
      </c>
      <c r="IV21">
        <v>15195</v>
      </c>
      <c r="IW21">
        <v>0</v>
      </c>
      <c r="IX21">
        <v>7</v>
      </c>
      <c r="IY21">
        <v>247</v>
      </c>
      <c r="IZ21">
        <v>11445</v>
      </c>
      <c r="JA21">
        <v>32659</v>
      </c>
      <c r="JB21">
        <v>36195</v>
      </c>
      <c r="JC21">
        <v>35177</v>
      </c>
    </row>
    <row r="22" spans="1:263" x14ac:dyDescent="0.3">
      <c r="A22" s="1">
        <v>2010</v>
      </c>
      <c r="B22" s="1">
        <v>3746420</v>
      </c>
      <c r="C22" s="1">
        <v>1287743</v>
      </c>
      <c r="D22" s="1">
        <v>1868161</v>
      </c>
      <c r="E22" s="1">
        <v>1878259</v>
      </c>
      <c r="F22" s="1">
        <v>0</v>
      </c>
      <c r="G22" s="1">
        <v>19870</v>
      </c>
      <c r="H22" s="1">
        <v>19450</v>
      </c>
      <c r="I22" s="1">
        <v>19626</v>
      </c>
      <c r="J22" s="1">
        <v>19743</v>
      </c>
      <c r="K22" s="1">
        <v>19827</v>
      </c>
      <c r="L22" s="1">
        <v>20460</v>
      </c>
      <c r="M22" s="1">
        <v>20915</v>
      </c>
      <c r="N22" s="1">
        <v>21298</v>
      </c>
      <c r="O22" s="1">
        <v>22131</v>
      </c>
      <c r="P22" s="1">
        <v>22574</v>
      </c>
      <c r="Q22" s="1">
        <v>23218</v>
      </c>
      <c r="R22" s="1">
        <v>24395</v>
      </c>
      <c r="S22" s="1">
        <v>24785</v>
      </c>
      <c r="T22" s="1">
        <v>25605</v>
      </c>
      <c r="U22" s="1">
        <v>26208</v>
      </c>
      <c r="V22" s="1">
        <v>27180</v>
      </c>
      <c r="W22" s="1">
        <v>27433</v>
      </c>
      <c r="X22" s="1">
        <v>28508</v>
      </c>
      <c r="Y22" s="1">
        <v>32755</v>
      </c>
      <c r="Z22" s="1">
        <v>53214</v>
      </c>
      <c r="AA22" s="1">
        <v>28228</v>
      </c>
      <c r="AB22" s="1">
        <v>28101</v>
      </c>
      <c r="AC22" s="1">
        <v>27505</v>
      </c>
      <c r="AD22" s="1">
        <v>27341</v>
      </c>
      <c r="AE22" s="1">
        <v>26772</v>
      </c>
      <c r="AF22" s="1">
        <v>26460</v>
      </c>
      <c r="AG22" s="1">
        <v>26081</v>
      </c>
      <c r="AH22" s="1">
        <v>25824</v>
      </c>
      <c r="AI22" s="1">
        <v>25533</v>
      </c>
      <c r="AJ22" s="1">
        <v>25266</v>
      </c>
      <c r="AK22" s="1">
        <v>25233</v>
      </c>
      <c r="AL22" s="1">
        <v>25365</v>
      </c>
      <c r="AM22" s="1">
        <v>25694</v>
      </c>
      <c r="AN22" s="1">
        <v>26083</v>
      </c>
      <c r="AO22" s="1">
        <v>26918</v>
      </c>
      <c r="AP22" s="1">
        <v>27194</v>
      </c>
      <c r="AQ22" s="1">
        <v>27534</v>
      </c>
      <c r="AR22" s="1">
        <v>27887</v>
      </c>
      <c r="AS22" s="1">
        <v>28185</v>
      </c>
      <c r="AT22" s="1">
        <v>28377</v>
      </c>
      <c r="AU22" s="1">
        <v>28667</v>
      </c>
      <c r="AV22" s="1">
        <v>29115</v>
      </c>
      <c r="AW22" s="1">
        <v>29810</v>
      </c>
      <c r="AX22" s="1">
        <v>30893</v>
      </c>
      <c r="AY22" s="1">
        <v>31732</v>
      </c>
      <c r="AZ22" s="1">
        <v>32894</v>
      </c>
      <c r="BA22" s="1">
        <v>33243</v>
      </c>
      <c r="BB22" s="1">
        <v>33253</v>
      </c>
      <c r="BC22" s="1">
        <v>33022</v>
      </c>
      <c r="BD22" s="1">
        <v>32790</v>
      </c>
      <c r="BE22" s="1">
        <v>32145</v>
      </c>
      <c r="BF22" s="1">
        <v>31387</v>
      </c>
      <c r="BG22" s="1">
        <v>30109</v>
      </c>
      <c r="BH22" s="1">
        <v>28757</v>
      </c>
      <c r="BI22" s="1">
        <v>27605</v>
      </c>
      <c r="BJ22" s="1">
        <v>26477</v>
      </c>
      <c r="BK22" s="1">
        <v>25499</v>
      </c>
      <c r="BL22" s="1">
        <v>24545</v>
      </c>
      <c r="BM22" s="1">
        <v>23363</v>
      </c>
      <c r="BN22" s="1">
        <v>22079</v>
      </c>
      <c r="BO22" s="1">
        <v>20737</v>
      </c>
      <c r="BP22" s="1">
        <v>19395</v>
      </c>
      <c r="BQ22" s="1">
        <v>18069</v>
      </c>
      <c r="BR22" s="1">
        <v>16280</v>
      </c>
      <c r="BS22" s="1">
        <v>14592</v>
      </c>
      <c r="BT22" s="1">
        <v>12983</v>
      </c>
      <c r="BU22" s="1">
        <v>11809</v>
      </c>
      <c r="BV22" s="1">
        <v>11097</v>
      </c>
      <c r="BW22" s="1">
        <v>10611</v>
      </c>
      <c r="BX22" s="1">
        <v>10144</v>
      </c>
      <c r="BY22" s="1">
        <v>9711</v>
      </c>
      <c r="BZ22" s="1">
        <v>9148</v>
      </c>
      <c r="CA22" s="1">
        <v>8621</v>
      </c>
      <c r="CB22" s="1">
        <v>8088</v>
      </c>
      <c r="CC22" s="1">
        <v>7535</v>
      </c>
      <c r="CD22" s="1">
        <v>6870</v>
      </c>
      <c r="CE22" s="1">
        <v>6327</v>
      </c>
      <c r="CF22" s="1">
        <v>5916</v>
      </c>
      <c r="CG22" s="1">
        <v>5364</v>
      </c>
      <c r="CH22" s="1">
        <v>4863</v>
      </c>
      <c r="CI22" s="1">
        <v>4323</v>
      </c>
      <c r="CJ22" s="1">
        <v>3903</v>
      </c>
      <c r="CK22" s="1">
        <v>3345</v>
      </c>
      <c r="CL22" s="1">
        <v>2786</v>
      </c>
      <c r="CM22" s="1">
        <v>2410</v>
      </c>
      <c r="CN22" s="1">
        <v>1951</v>
      </c>
      <c r="CO22" s="1">
        <v>1629</v>
      </c>
      <c r="CP22" s="1">
        <v>1374</v>
      </c>
      <c r="CQ22" s="1">
        <v>1085</v>
      </c>
      <c r="CR22" s="1">
        <v>923</v>
      </c>
      <c r="CS22" s="1">
        <v>746</v>
      </c>
      <c r="CT22" s="1">
        <v>610</v>
      </c>
      <c r="CU22" s="1">
        <v>503</v>
      </c>
      <c r="CV22" s="1">
        <v>420</v>
      </c>
      <c r="CW22" s="1">
        <v>346</v>
      </c>
      <c r="CX22" s="1">
        <v>261</v>
      </c>
      <c r="CY22" s="1">
        <v>236</v>
      </c>
      <c r="CZ22" s="1">
        <v>199</v>
      </c>
      <c r="DA22" s="1">
        <v>151</v>
      </c>
      <c r="DB22">
        <v>36.847960024031799</v>
      </c>
      <c r="DC22">
        <v>0</v>
      </c>
      <c r="DD22">
        <v>21263</v>
      </c>
      <c r="DE22">
        <v>21375</v>
      </c>
      <c r="DF22">
        <v>21206</v>
      </c>
      <c r="DG22">
        <v>21179</v>
      </c>
      <c r="DH22">
        <v>21462</v>
      </c>
      <c r="DI22">
        <v>21833</v>
      </c>
      <c r="DJ22">
        <v>22657</v>
      </c>
      <c r="DK22">
        <v>22856</v>
      </c>
      <c r="DL22">
        <v>23450</v>
      </c>
      <c r="DM22">
        <v>24485</v>
      </c>
      <c r="DN22">
        <v>24759</v>
      </c>
      <c r="DO22">
        <v>25730</v>
      </c>
      <c r="DP22">
        <v>26439</v>
      </c>
      <c r="DQ22">
        <v>27330</v>
      </c>
      <c r="DR22">
        <v>27945</v>
      </c>
      <c r="DS22">
        <v>28441</v>
      </c>
      <c r="DT22">
        <v>28886</v>
      </c>
      <c r="DU22">
        <v>29362</v>
      </c>
      <c r="DV22">
        <v>32323</v>
      </c>
      <c r="DW22">
        <v>52102</v>
      </c>
      <c r="DX22">
        <v>25140</v>
      </c>
      <c r="DY22">
        <v>24939</v>
      </c>
      <c r="DZ22">
        <v>24742</v>
      </c>
      <c r="EA22">
        <v>24301</v>
      </c>
      <c r="EB22">
        <v>23792</v>
      </c>
      <c r="EC22">
        <v>23388</v>
      </c>
      <c r="ED22">
        <v>23028</v>
      </c>
      <c r="EE22">
        <v>22766</v>
      </c>
      <c r="EF22">
        <v>22664</v>
      </c>
      <c r="EG22">
        <v>22436</v>
      </c>
      <c r="EH22">
        <v>22452</v>
      </c>
      <c r="EI22">
        <v>22459</v>
      </c>
      <c r="EJ22">
        <v>22818</v>
      </c>
      <c r="EK22">
        <v>23349</v>
      </c>
      <c r="EL22">
        <v>24005</v>
      </c>
      <c r="EM22">
        <v>24585</v>
      </c>
      <c r="EN22">
        <v>24874</v>
      </c>
      <c r="EO22">
        <v>25310</v>
      </c>
      <c r="EP22">
        <v>25655</v>
      </c>
      <c r="EQ22">
        <v>26072</v>
      </c>
      <c r="ER22">
        <v>26599</v>
      </c>
      <c r="ES22">
        <v>26928</v>
      </c>
      <c r="ET22">
        <v>27744</v>
      </c>
      <c r="EU22">
        <v>28860</v>
      </c>
      <c r="EV22">
        <v>30013</v>
      </c>
      <c r="EW22">
        <v>30895</v>
      </c>
      <c r="EX22">
        <v>31445</v>
      </c>
      <c r="EY22">
        <v>31735</v>
      </c>
      <c r="EZ22">
        <v>31746</v>
      </c>
      <c r="FA22">
        <v>31785</v>
      </c>
      <c r="FB22">
        <v>31689</v>
      </c>
      <c r="FC22">
        <v>31308</v>
      </c>
      <c r="FD22">
        <v>30668</v>
      </c>
      <c r="FE22">
        <v>29693</v>
      </c>
      <c r="FF22">
        <v>28561</v>
      </c>
      <c r="FG22">
        <v>27428</v>
      </c>
      <c r="FH22">
        <v>26619</v>
      </c>
      <c r="FI22">
        <v>25633</v>
      </c>
      <c r="FJ22">
        <v>24413</v>
      </c>
      <c r="FK22">
        <v>23174</v>
      </c>
      <c r="FL22">
        <v>21980</v>
      </c>
      <c r="FM22">
        <v>20862</v>
      </c>
      <c r="FN22">
        <v>19570</v>
      </c>
      <c r="FO22">
        <v>17868</v>
      </c>
      <c r="FP22">
        <v>15932</v>
      </c>
      <c r="FQ22">
        <v>14272</v>
      </c>
      <c r="FR22">
        <v>13052</v>
      </c>
      <c r="FS22">
        <v>12587</v>
      </c>
      <c r="FT22">
        <v>12116</v>
      </c>
      <c r="FU22">
        <v>11695</v>
      </c>
      <c r="FV22">
        <v>11347</v>
      </c>
      <c r="FW22">
        <v>10966</v>
      </c>
      <c r="FX22">
        <v>10487</v>
      </c>
      <c r="FY22">
        <v>9975</v>
      </c>
      <c r="FZ22">
        <v>9495</v>
      </c>
      <c r="GA22">
        <v>8905</v>
      </c>
      <c r="GB22">
        <v>8450</v>
      </c>
      <c r="GC22">
        <v>7871</v>
      </c>
      <c r="GD22">
        <v>7243</v>
      </c>
      <c r="GE22">
        <v>6786</v>
      </c>
      <c r="GF22">
        <v>6123</v>
      </c>
      <c r="GG22">
        <v>5520</v>
      </c>
      <c r="GH22">
        <v>5090</v>
      </c>
      <c r="GI22">
        <v>4444</v>
      </c>
      <c r="GJ22">
        <v>3943</v>
      </c>
      <c r="GK22">
        <v>3168</v>
      </c>
      <c r="GL22">
        <v>2759</v>
      </c>
      <c r="GM22">
        <v>2365</v>
      </c>
      <c r="GN22">
        <v>1991</v>
      </c>
      <c r="GO22">
        <v>1630</v>
      </c>
      <c r="GP22">
        <v>1406</v>
      </c>
      <c r="GQ22">
        <v>1266</v>
      </c>
      <c r="GR22">
        <v>1061</v>
      </c>
      <c r="GS22">
        <v>885</v>
      </c>
      <c r="GT22">
        <v>760</v>
      </c>
      <c r="GU22">
        <v>606</v>
      </c>
      <c r="GV22">
        <v>529</v>
      </c>
      <c r="GW22">
        <v>457</v>
      </c>
      <c r="GX22">
        <v>307</v>
      </c>
      <c r="GY22">
        <v>37.730527565554603</v>
      </c>
      <c r="GZ22">
        <v>1888</v>
      </c>
      <c r="HA22">
        <v>10341</v>
      </c>
      <c r="HB22">
        <v>20750</v>
      </c>
      <c r="HC22">
        <v>18908</v>
      </c>
      <c r="HD22">
        <v>8655</v>
      </c>
      <c r="HE22">
        <v>3837</v>
      </c>
      <c r="HF22">
        <v>1172</v>
      </c>
      <c r="HG22">
        <v>0</v>
      </c>
      <c r="HH22">
        <v>0</v>
      </c>
      <c r="HI22">
        <v>952</v>
      </c>
      <c r="HJ22">
        <v>19025</v>
      </c>
      <c r="HK22">
        <v>13130</v>
      </c>
      <c r="HL22">
        <v>5264</v>
      </c>
      <c r="HM22">
        <v>1580</v>
      </c>
      <c r="HN22">
        <v>44398</v>
      </c>
      <c r="HO22">
        <v>174473</v>
      </c>
      <c r="HP22">
        <v>245024</v>
      </c>
      <c r="HQ22">
        <v>229818</v>
      </c>
      <c r="HR22">
        <v>126613</v>
      </c>
      <c r="HS22">
        <v>53776</v>
      </c>
      <c r="HT22">
        <v>12903</v>
      </c>
      <c r="HU22">
        <v>205565</v>
      </c>
      <c r="HV22">
        <v>204290</v>
      </c>
      <c r="HW22">
        <v>259900</v>
      </c>
      <c r="HX22">
        <v>203458</v>
      </c>
      <c r="HY22">
        <v>107649</v>
      </c>
      <c r="HZ22">
        <v>49028</v>
      </c>
      <c r="IA22">
        <v>12041</v>
      </c>
      <c r="IB22">
        <v>248710</v>
      </c>
      <c r="IC22">
        <v>80271</v>
      </c>
      <c r="ID22">
        <v>43993</v>
      </c>
      <c r="IE22">
        <v>29185</v>
      </c>
      <c r="IF22">
        <v>13585</v>
      </c>
      <c r="IG22">
        <v>5362</v>
      </c>
      <c r="IH22">
        <v>2819</v>
      </c>
      <c r="II22">
        <v>61297</v>
      </c>
      <c r="IJ22">
        <v>33653</v>
      </c>
      <c r="IK22">
        <v>31120</v>
      </c>
      <c r="IL22">
        <v>56146</v>
      </c>
      <c r="IM22">
        <v>18449</v>
      </c>
      <c r="IN22">
        <v>5508</v>
      </c>
      <c r="IO22">
        <v>2586</v>
      </c>
      <c r="IP22">
        <v>63</v>
      </c>
      <c r="IQ22">
        <v>274</v>
      </c>
      <c r="IR22">
        <v>1239</v>
      </c>
      <c r="IS22">
        <v>4766</v>
      </c>
      <c r="IT22">
        <v>8799</v>
      </c>
      <c r="IU22">
        <v>14749</v>
      </c>
      <c r="IV22">
        <v>15809</v>
      </c>
      <c r="IW22">
        <v>0</v>
      </c>
      <c r="IX22">
        <v>0</v>
      </c>
      <c r="IY22">
        <v>65</v>
      </c>
      <c r="IZ22">
        <v>9168</v>
      </c>
      <c r="JA22">
        <v>32185</v>
      </c>
      <c r="JB22">
        <v>36634</v>
      </c>
      <c r="JC22">
        <v>36585</v>
      </c>
    </row>
    <row r="23" spans="1:263" x14ac:dyDescent="0.3">
      <c r="A23" s="1">
        <v>2011</v>
      </c>
      <c r="B23" s="1">
        <v>3782469</v>
      </c>
      <c r="C23" s="1">
        <v>1394500</v>
      </c>
      <c r="D23" s="1">
        <v>1885275</v>
      </c>
      <c r="E23" s="1">
        <v>1897194</v>
      </c>
      <c r="F23" s="1">
        <v>0</v>
      </c>
      <c r="G23" s="1">
        <v>19960</v>
      </c>
      <c r="H23" s="1">
        <v>19880</v>
      </c>
      <c r="I23" s="1">
        <v>19470</v>
      </c>
      <c r="J23" s="1">
        <v>19677</v>
      </c>
      <c r="K23" s="1">
        <v>19813</v>
      </c>
      <c r="L23" s="1">
        <v>19904</v>
      </c>
      <c r="M23" s="1">
        <v>20543</v>
      </c>
      <c r="N23" s="1">
        <v>20999</v>
      </c>
      <c r="O23" s="1">
        <v>21399</v>
      </c>
      <c r="P23" s="1">
        <v>22261</v>
      </c>
      <c r="Q23" s="1">
        <v>22703</v>
      </c>
      <c r="R23" s="1">
        <v>23351</v>
      </c>
      <c r="S23" s="1">
        <v>24545</v>
      </c>
      <c r="T23" s="1">
        <v>24943</v>
      </c>
      <c r="U23" s="1">
        <v>25755</v>
      </c>
      <c r="V23" s="1">
        <v>26361</v>
      </c>
      <c r="W23" s="1">
        <v>27386</v>
      </c>
      <c r="X23" s="1">
        <v>27612</v>
      </c>
      <c r="Y23" s="1">
        <v>28735</v>
      </c>
      <c r="Z23" s="1">
        <v>33184</v>
      </c>
      <c r="AA23" s="1">
        <v>53429</v>
      </c>
      <c r="AB23" s="1">
        <v>28434</v>
      </c>
      <c r="AC23" s="1">
        <v>28328</v>
      </c>
      <c r="AD23" s="1">
        <v>27711</v>
      </c>
      <c r="AE23" s="1">
        <v>27556</v>
      </c>
      <c r="AF23" s="1">
        <v>26978</v>
      </c>
      <c r="AG23" s="1">
        <v>26649</v>
      </c>
      <c r="AH23" s="1">
        <v>26313</v>
      </c>
      <c r="AI23" s="1">
        <v>26040</v>
      </c>
      <c r="AJ23" s="1">
        <v>25730</v>
      </c>
      <c r="AK23" s="1">
        <v>25433</v>
      </c>
      <c r="AL23" s="1">
        <v>25437</v>
      </c>
      <c r="AM23" s="1">
        <v>25556</v>
      </c>
      <c r="AN23" s="1">
        <v>25895</v>
      </c>
      <c r="AO23" s="1">
        <v>26299</v>
      </c>
      <c r="AP23" s="1">
        <v>27054</v>
      </c>
      <c r="AQ23" s="1">
        <v>27308</v>
      </c>
      <c r="AR23" s="1">
        <v>27651</v>
      </c>
      <c r="AS23" s="1">
        <v>27995</v>
      </c>
      <c r="AT23" s="1">
        <v>28287</v>
      </c>
      <c r="AU23" s="1">
        <v>28444</v>
      </c>
      <c r="AV23" s="1">
        <v>28717</v>
      </c>
      <c r="AW23" s="1">
        <v>29167</v>
      </c>
      <c r="AX23" s="1">
        <v>29866</v>
      </c>
      <c r="AY23" s="1">
        <v>30935</v>
      </c>
      <c r="AZ23" s="1">
        <v>31752</v>
      </c>
      <c r="BA23" s="1">
        <v>32917</v>
      </c>
      <c r="BB23" s="1">
        <v>33249</v>
      </c>
      <c r="BC23" s="1">
        <v>33257</v>
      </c>
      <c r="BD23" s="1">
        <v>33014</v>
      </c>
      <c r="BE23" s="1">
        <v>32701</v>
      </c>
      <c r="BF23" s="1">
        <v>32051</v>
      </c>
      <c r="BG23" s="1">
        <v>31302</v>
      </c>
      <c r="BH23" s="1">
        <v>30017</v>
      </c>
      <c r="BI23" s="1">
        <v>28695</v>
      </c>
      <c r="BJ23" s="1">
        <v>27440</v>
      </c>
      <c r="BK23" s="1">
        <v>26323</v>
      </c>
      <c r="BL23" s="1">
        <v>25359</v>
      </c>
      <c r="BM23" s="1">
        <v>24410</v>
      </c>
      <c r="BN23" s="1">
        <v>23215</v>
      </c>
      <c r="BO23" s="1">
        <v>21864</v>
      </c>
      <c r="BP23" s="1">
        <v>20533</v>
      </c>
      <c r="BQ23" s="1">
        <v>19204</v>
      </c>
      <c r="BR23" s="1">
        <v>17867</v>
      </c>
      <c r="BS23" s="1">
        <v>16115</v>
      </c>
      <c r="BT23" s="1">
        <v>14336</v>
      </c>
      <c r="BU23" s="1">
        <v>12752</v>
      </c>
      <c r="BV23" s="1">
        <v>11629</v>
      </c>
      <c r="BW23" s="1">
        <v>10882</v>
      </c>
      <c r="BX23" s="1">
        <v>10411</v>
      </c>
      <c r="BY23" s="1">
        <v>9830</v>
      </c>
      <c r="BZ23" s="1">
        <v>9423</v>
      </c>
      <c r="CA23" s="1">
        <v>8873</v>
      </c>
      <c r="CB23" s="1">
        <v>8393</v>
      </c>
      <c r="CC23" s="1">
        <v>7891</v>
      </c>
      <c r="CD23" s="1">
        <v>7159</v>
      </c>
      <c r="CE23" s="1">
        <v>6523</v>
      </c>
      <c r="CF23" s="1">
        <v>6033</v>
      </c>
      <c r="CG23" s="1">
        <v>5636</v>
      </c>
      <c r="CH23" s="1">
        <v>5115</v>
      </c>
      <c r="CI23" s="1">
        <v>4489</v>
      </c>
      <c r="CJ23" s="1">
        <v>4032</v>
      </c>
      <c r="CK23" s="1">
        <v>3622</v>
      </c>
      <c r="CL23" s="1">
        <v>3076</v>
      </c>
      <c r="CM23" s="1">
        <v>2576</v>
      </c>
      <c r="CN23" s="1">
        <v>2066</v>
      </c>
      <c r="CO23" s="1">
        <v>1698</v>
      </c>
      <c r="CP23" s="1">
        <v>1392</v>
      </c>
      <c r="CQ23" s="1">
        <v>1185</v>
      </c>
      <c r="CR23" s="1">
        <v>953</v>
      </c>
      <c r="CS23" s="1">
        <v>796</v>
      </c>
      <c r="CT23" s="1">
        <v>637</v>
      </c>
      <c r="CU23" s="1">
        <v>533</v>
      </c>
      <c r="CV23" s="1">
        <v>427</v>
      </c>
      <c r="CW23" s="1">
        <v>366</v>
      </c>
      <c r="CX23" s="1">
        <v>294</v>
      </c>
      <c r="CY23" s="1">
        <v>224</v>
      </c>
      <c r="CZ23" s="1">
        <v>206</v>
      </c>
      <c r="DA23" s="1">
        <v>171</v>
      </c>
      <c r="DB23">
        <v>37.225109001505302</v>
      </c>
      <c r="DC23">
        <v>0</v>
      </c>
      <c r="DD23">
        <v>22053</v>
      </c>
      <c r="DE23">
        <v>21279</v>
      </c>
      <c r="DF23">
        <v>21392</v>
      </c>
      <c r="DG23">
        <v>21241</v>
      </c>
      <c r="DH23">
        <v>21220</v>
      </c>
      <c r="DI23">
        <v>21502</v>
      </c>
      <c r="DJ23">
        <v>21884</v>
      </c>
      <c r="DK23">
        <v>22707</v>
      </c>
      <c r="DL23">
        <v>22909</v>
      </c>
      <c r="DM23">
        <v>23533</v>
      </c>
      <c r="DN23">
        <v>24530</v>
      </c>
      <c r="DO23">
        <v>24825</v>
      </c>
      <c r="DP23">
        <v>25807</v>
      </c>
      <c r="DQ23">
        <v>26515</v>
      </c>
      <c r="DR23">
        <v>27439</v>
      </c>
      <c r="DS23">
        <v>28044</v>
      </c>
      <c r="DT23">
        <v>28540</v>
      </c>
      <c r="DU23">
        <v>28997</v>
      </c>
      <c r="DV23">
        <v>29498</v>
      </c>
      <c r="DW23">
        <v>32571</v>
      </c>
      <c r="DX23">
        <v>52202</v>
      </c>
      <c r="DY23">
        <v>25248</v>
      </c>
      <c r="DZ23">
        <v>25048</v>
      </c>
      <c r="EA23">
        <v>24852</v>
      </c>
      <c r="EB23">
        <v>24432</v>
      </c>
      <c r="EC23">
        <v>23899</v>
      </c>
      <c r="ED23">
        <v>23501</v>
      </c>
      <c r="EE23">
        <v>23135</v>
      </c>
      <c r="EF23">
        <v>22868</v>
      </c>
      <c r="EG23">
        <v>22774</v>
      </c>
      <c r="EH23">
        <v>22545</v>
      </c>
      <c r="EI23">
        <v>22546</v>
      </c>
      <c r="EJ23">
        <v>22565</v>
      </c>
      <c r="EK23">
        <v>22926</v>
      </c>
      <c r="EL23">
        <v>23449</v>
      </c>
      <c r="EM23">
        <v>24054</v>
      </c>
      <c r="EN23">
        <v>24630</v>
      </c>
      <c r="EO23">
        <v>24939</v>
      </c>
      <c r="EP23">
        <v>25391</v>
      </c>
      <c r="EQ23">
        <v>25707</v>
      </c>
      <c r="ER23">
        <v>26114</v>
      </c>
      <c r="ES23">
        <v>26653</v>
      </c>
      <c r="ET23">
        <v>26984</v>
      </c>
      <c r="EU23">
        <v>27793</v>
      </c>
      <c r="EV23">
        <v>28920</v>
      </c>
      <c r="EW23">
        <v>30054</v>
      </c>
      <c r="EX23">
        <v>30920</v>
      </c>
      <c r="EY23">
        <v>31509</v>
      </c>
      <c r="EZ23">
        <v>31802</v>
      </c>
      <c r="FA23">
        <v>31802</v>
      </c>
      <c r="FB23">
        <v>31787</v>
      </c>
      <c r="FC23">
        <v>31699</v>
      </c>
      <c r="FD23">
        <v>31297</v>
      </c>
      <c r="FE23">
        <v>30704</v>
      </c>
      <c r="FF23">
        <v>29722</v>
      </c>
      <c r="FG23">
        <v>28545</v>
      </c>
      <c r="FH23">
        <v>27396</v>
      </c>
      <c r="FI23">
        <v>26604</v>
      </c>
      <c r="FJ23">
        <v>25628</v>
      </c>
      <c r="FK23">
        <v>24403</v>
      </c>
      <c r="FL23">
        <v>23111</v>
      </c>
      <c r="FM23">
        <v>21915</v>
      </c>
      <c r="FN23">
        <v>20820</v>
      </c>
      <c r="FO23">
        <v>19518</v>
      </c>
      <c r="FP23">
        <v>17801</v>
      </c>
      <c r="FQ23">
        <v>15815</v>
      </c>
      <c r="FR23">
        <v>14172</v>
      </c>
      <c r="FS23">
        <v>12938</v>
      </c>
      <c r="FT23">
        <v>12506</v>
      </c>
      <c r="FU23">
        <v>12027</v>
      </c>
      <c r="FV23">
        <v>11518</v>
      </c>
      <c r="FW23">
        <v>11195</v>
      </c>
      <c r="FX23">
        <v>10811</v>
      </c>
      <c r="FY23">
        <v>10333</v>
      </c>
      <c r="FZ23">
        <v>9849</v>
      </c>
      <c r="GA23">
        <v>9225</v>
      </c>
      <c r="GB23">
        <v>8637</v>
      </c>
      <c r="GC23">
        <v>8190</v>
      </c>
      <c r="GD23">
        <v>7656</v>
      </c>
      <c r="GE23">
        <v>7071</v>
      </c>
      <c r="GF23">
        <v>6466</v>
      </c>
      <c r="GG23">
        <v>5825</v>
      </c>
      <c r="GH23">
        <v>5217</v>
      </c>
      <c r="GI23">
        <v>4842</v>
      </c>
      <c r="GJ23">
        <v>4221</v>
      </c>
      <c r="GK23">
        <v>3495</v>
      </c>
      <c r="GL23">
        <v>2810</v>
      </c>
      <c r="GM23">
        <v>2434</v>
      </c>
      <c r="GN23">
        <v>2101</v>
      </c>
      <c r="GO23">
        <v>1757</v>
      </c>
      <c r="GP23">
        <v>1438</v>
      </c>
      <c r="GQ23">
        <v>1240</v>
      </c>
      <c r="GR23">
        <v>1119</v>
      </c>
      <c r="GS23">
        <v>936</v>
      </c>
      <c r="GT23">
        <v>788</v>
      </c>
      <c r="GU23">
        <v>680</v>
      </c>
      <c r="GV23">
        <v>529</v>
      </c>
      <c r="GW23">
        <v>477</v>
      </c>
      <c r="GX23">
        <v>400</v>
      </c>
      <c r="GY23">
        <v>38.102169128043599</v>
      </c>
      <c r="GZ23">
        <v>1904</v>
      </c>
      <c r="HA23">
        <v>10251</v>
      </c>
      <c r="HB23">
        <v>21034</v>
      </c>
      <c r="HC23">
        <v>19905</v>
      </c>
      <c r="HD23">
        <v>9754</v>
      </c>
      <c r="HE23">
        <v>4269</v>
      </c>
      <c r="HF23">
        <v>1317</v>
      </c>
      <c r="HG23">
        <v>0</v>
      </c>
      <c r="HH23">
        <v>0</v>
      </c>
      <c r="HI23">
        <v>873</v>
      </c>
      <c r="HJ23">
        <v>7775</v>
      </c>
      <c r="HK23">
        <v>14914</v>
      </c>
      <c r="HL23">
        <v>5833</v>
      </c>
      <c r="HM23">
        <v>1821</v>
      </c>
      <c r="HN23">
        <v>44492</v>
      </c>
      <c r="HO23">
        <v>172649</v>
      </c>
      <c r="HP23">
        <v>242164</v>
      </c>
      <c r="HQ23">
        <v>234788</v>
      </c>
      <c r="HR23">
        <v>135067</v>
      </c>
      <c r="HS23">
        <v>56313</v>
      </c>
      <c r="HT23">
        <v>13710</v>
      </c>
      <c r="HU23">
        <v>186078</v>
      </c>
      <c r="HV23">
        <v>201492</v>
      </c>
      <c r="HW23">
        <v>253117</v>
      </c>
      <c r="HX23">
        <v>249460</v>
      </c>
      <c r="HY23">
        <v>114916</v>
      </c>
      <c r="HZ23">
        <v>50714</v>
      </c>
      <c r="IA23">
        <v>12891</v>
      </c>
      <c r="IB23">
        <v>258139</v>
      </c>
      <c r="IC23">
        <v>81138</v>
      </c>
      <c r="ID23">
        <v>42150</v>
      </c>
      <c r="IE23">
        <v>32107</v>
      </c>
      <c r="IF23">
        <v>14562</v>
      </c>
      <c r="IG23">
        <v>4732</v>
      </c>
      <c r="IH23">
        <v>3074</v>
      </c>
      <c r="II23">
        <v>91678</v>
      </c>
      <c r="IJ23">
        <v>34327</v>
      </c>
      <c r="IK23">
        <v>32404</v>
      </c>
      <c r="IL23">
        <v>33738</v>
      </c>
      <c r="IM23">
        <v>21027</v>
      </c>
      <c r="IN23">
        <v>5962</v>
      </c>
      <c r="IO23">
        <v>2870</v>
      </c>
      <c r="IP23">
        <v>87</v>
      </c>
      <c r="IQ23">
        <v>320</v>
      </c>
      <c r="IR23">
        <v>1243</v>
      </c>
      <c r="IS23">
        <v>4512</v>
      </c>
      <c r="IT23">
        <v>9014</v>
      </c>
      <c r="IU23">
        <v>14858</v>
      </c>
      <c r="IV23">
        <v>16425</v>
      </c>
      <c r="IW23">
        <v>0</v>
      </c>
      <c r="IX23">
        <v>0</v>
      </c>
      <c r="IY23">
        <v>62</v>
      </c>
      <c r="IZ23">
        <v>4211</v>
      </c>
      <c r="JA23">
        <v>32142</v>
      </c>
      <c r="JB23">
        <v>36932</v>
      </c>
      <c r="JC23">
        <v>38042</v>
      </c>
    </row>
    <row r="24" spans="1:263" x14ac:dyDescent="0.3">
      <c r="A24" s="1">
        <v>2012</v>
      </c>
      <c r="B24" s="1">
        <v>3817983</v>
      </c>
      <c r="C24" s="1">
        <v>1493765</v>
      </c>
      <c r="D24" s="1">
        <v>1902236</v>
      </c>
      <c r="E24" s="1">
        <v>1915747</v>
      </c>
      <c r="F24" s="1">
        <v>0</v>
      </c>
      <c r="G24" s="1">
        <v>20208</v>
      </c>
      <c r="H24" s="1">
        <v>19969</v>
      </c>
      <c r="I24" s="1">
        <v>19912</v>
      </c>
      <c r="J24" s="1">
        <v>19525</v>
      </c>
      <c r="K24" s="1">
        <v>19718</v>
      </c>
      <c r="L24" s="1">
        <v>19899</v>
      </c>
      <c r="M24" s="1">
        <v>19987</v>
      </c>
      <c r="N24" s="1">
        <v>20634</v>
      </c>
      <c r="O24" s="1">
        <v>21114</v>
      </c>
      <c r="P24" s="1">
        <v>21492</v>
      </c>
      <c r="Q24" s="1">
        <v>22387</v>
      </c>
      <c r="R24" s="1">
        <v>22843</v>
      </c>
      <c r="S24" s="1">
        <v>23476</v>
      </c>
      <c r="T24" s="1">
        <v>24668</v>
      </c>
      <c r="U24" s="1">
        <v>25082</v>
      </c>
      <c r="V24" s="1">
        <v>25914</v>
      </c>
      <c r="W24" s="1">
        <v>26542</v>
      </c>
      <c r="X24" s="1">
        <v>27598</v>
      </c>
      <c r="Y24" s="1">
        <v>27811</v>
      </c>
      <c r="Z24" s="1">
        <v>28951</v>
      </c>
      <c r="AA24" s="1">
        <v>33599</v>
      </c>
      <c r="AB24" s="1">
        <v>53641</v>
      </c>
      <c r="AC24" s="1">
        <v>28627</v>
      </c>
      <c r="AD24" s="1">
        <v>28552</v>
      </c>
      <c r="AE24" s="1">
        <v>27900</v>
      </c>
      <c r="AF24" s="1">
        <v>27753</v>
      </c>
      <c r="AG24" s="1">
        <v>27180</v>
      </c>
      <c r="AH24" s="1">
        <v>26846</v>
      </c>
      <c r="AI24" s="1">
        <v>26530</v>
      </c>
      <c r="AJ24" s="1">
        <v>26289</v>
      </c>
      <c r="AK24" s="1">
        <v>25910</v>
      </c>
      <c r="AL24" s="1">
        <v>25606</v>
      </c>
      <c r="AM24" s="1">
        <v>25648</v>
      </c>
      <c r="AN24" s="1">
        <v>25767</v>
      </c>
      <c r="AO24" s="1">
        <v>26107</v>
      </c>
      <c r="AP24" s="1">
        <v>26437</v>
      </c>
      <c r="AQ24" s="1">
        <v>27200</v>
      </c>
      <c r="AR24" s="1">
        <v>27428</v>
      </c>
      <c r="AS24" s="1">
        <v>27759</v>
      </c>
      <c r="AT24" s="1">
        <v>28076</v>
      </c>
      <c r="AU24" s="1">
        <v>28353</v>
      </c>
      <c r="AV24" s="1">
        <v>28508</v>
      </c>
      <c r="AW24" s="1">
        <v>28736</v>
      </c>
      <c r="AX24" s="1">
        <v>29203</v>
      </c>
      <c r="AY24" s="1">
        <v>29887</v>
      </c>
      <c r="AZ24" s="1">
        <v>30951</v>
      </c>
      <c r="BA24" s="1">
        <v>31761</v>
      </c>
      <c r="BB24" s="1">
        <v>32913</v>
      </c>
      <c r="BC24" s="1">
        <v>33243</v>
      </c>
      <c r="BD24" s="1">
        <v>33266</v>
      </c>
      <c r="BE24" s="1">
        <v>32958</v>
      </c>
      <c r="BF24" s="1">
        <v>32629</v>
      </c>
      <c r="BG24" s="1">
        <v>31966</v>
      </c>
      <c r="BH24" s="1">
        <v>31217</v>
      </c>
      <c r="BI24" s="1">
        <v>29941</v>
      </c>
      <c r="BJ24" s="1">
        <v>28541</v>
      </c>
      <c r="BK24" s="1">
        <v>27291</v>
      </c>
      <c r="BL24" s="1">
        <v>26193</v>
      </c>
      <c r="BM24" s="1">
        <v>25232</v>
      </c>
      <c r="BN24" s="1">
        <v>24261</v>
      </c>
      <c r="BO24" s="1">
        <v>22974</v>
      </c>
      <c r="BP24" s="1">
        <v>21655</v>
      </c>
      <c r="BQ24" s="1">
        <v>20340</v>
      </c>
      <c r="BR24" s="1">
        <v>18984</v>
      </c>
      <c r="BS24" s="1">
        <v>17659</v>
      </c>
      <c r="BT24" s="1">
        <v>15819</v>
      </c>
      <c r="BU24" s="1">
        <v>14112</v>
      </c>
      <c r="BV24" s="1">
        <v>12549</v>
      </c>
      <c r="BW24" s="1">
        <v>11425</v>
      </c>
      <c r="BX24" s="1">
        <v>10716</v>
      </c>
      <c r="BY24" s="1">
        <v>10132</v>
      </c>
      <c r="BZ24" s="1">
        <v>9546</v>
      </c>
      <c r="CA24" s="1">
        <v>9167</v>
      </c>
      <c r="CB24" s="1">
        <v>8615</v>
      </c>
      <c r="CC24" s="1">
        <v>8170</v>
      </c>
      <c r="CD24" s="1">
        <v>7521</v>
      </c>
      <c r="CE24" s="1">
        <v>6828</v>
      </c>
      <c r="CF24" s="1">
        <v>6227</v>
      </c>
      <c r="CG24" s="1">
        <v>5747</v>
      </c>
      <c r="CH24" s="1">
        <v>5389</v>
      </c>
      <c r="CI24" s="1">
        <v>4753</v>
      </c>
      <c r="CJ24" s="1">
        <v>4119</v>
      </c>
      <c r="CK24" s="1">
        <v>3712</v>
      </c>
      <c r="CL24" s="1">
        <v>3333</v>
      </c>
      <c r="CM24" s="1">
        <v>2850</v>
      </c>
      <c r="CN24" s="1">
        <v>2240</v>
      </c>
      <c r="CO24" s="1">
        <v>1781</v>
      </c>
      <c r="CP24" s="1">
        <v>1469</v>
      </c>
      <c r="CQ24" s="1">
        <v>1199</v>
      </c>
      <c r="CR24" s="1">
        <v>1019</v>
      </c>
      <c r="CS24" s="1">
        <v>826</v>
      </c>
      <c r="CT24" s="1">
        <v>700</v>
      </c>
      <c r="CU24" s="1">
        <v>545</v>
      </c>
      <c r="CV24" s="1">
        <v>459</v>
      </c>
      <c r="CW24" s="1">
        <v>368</v>
      </c>
      <c r="CX24" s="1">
        <v>316</v>
      </c>
      <c r="CY24" s="1">
        <v>248</v>
      </c>
      <c r="CZ24" s="1">
        <v>190</v>
      </c>
      <c r="DA24" s="1">
        <v>179</v>
      </c>
      <c r="DB24">
        <v>37.594631862156298</v>
      </c>
      <c r="DC24">
        <v>0</v>
      </c>
      <c r="DD24">
        <v>21834</v>
      </c>
      <c r="DE24">
        <v>22059</v>
      </c>
      <c r="DF24">
        <v>21302</v>
      </c>
      <c r="DG24">
        <v>21421</v>
      </c>
      <c r="DH24">
        <v>21269</v>
      </c>
      <c r="DI24">
        <v>21258</v>
      </c>
      <c r="DJ24">
        <v>21560</v>
      </c>
      <c r="DK24">
        <v>21926</v>
      </c>
      <c r="DL24">
        <v>22755</v>
      </c>
      <c r="DM24">
        <v>22971</v>
      </c>
      <c r="DN24">
        <v>23597</v>
      </c>
      <c r="DO24">
        <v>24610</v>
      </c>
      <c r="DP24">
        <v>24914</v>
      </c>
      <c r="DQ24">
        <v>25896</v>
      </c>
      <c r="DR24">
        <v>26601</v>
      </c>
      <c r="DS24">
        <v>27545</v>
      </c>
      <c r="DT24">
        <v>28142</v>
      </c>
      <c r="DU24">
        <v>28671</v>
      </c>
      <c r="DV24">
        <v>29102</v>
      </c>
      <c r="DW24">
        <v>29639</v>
      </c>
      <c r="DX24">
        <v>32792</v>
      </c>
      <c r="DY24">
        <v>52321</v>
      </c>
      <c r="DZ24">
        <v>25365</v>
      </c>
      <c r="EA24">
        <v>25173</v>
      </c>
      <c r="EB24">
        <v>24946</v>
      </c>
      <c r="EC24">
        <v>24563</v>
      </c>
      <c r="ED24">
        <v>24021</v>
      </c>
      <c r="EE24">
        <v>23609</v>
      </c>
      <c r="EF24">
        <v>23260</v>
      </c>
      <c r="EG24">
        <v>22981</v>
      </c>
      <c r="EH24">
        <v>22876</v>
      </c>
      <c r="EI24">
        <v>22644</v>
      </c>
      <c r="EJ24">
        <v>22661</v>
      </c>
      <c r="EK24">
        <v>22679</v>
      </c>
      <c r="EL24">
        <v>23039</v>
      </c>
      <c r="EM24">
        <v>23495</v>
      </c>
      <c r="EN24">
        <v>24094</v>
      </c>
      <c r="EO24">
        <v>24683</v>
      </c>
      <c r="EP24">
        <v>24990</v>
      </c>
      <c r="EQ24">
        <v>25440</v>
      </c>
      <c r="ER24">
        <v>25762</v>
      </c>
      <c r="ES24">
        <v>26151</v>
      </c>
      <c r="ET24">
        <v>26698</v>
      </c>
      <c r="EU24">
        <v>27039</v>
      </c>
      <c r="EV24">
        <v>27842</v>
      </c>
      <c r="EW24">
        <v>28954</v>
      </c>
      <c r="EX24">
        <v>30095</v>
      </c>
      <c r="EY24">
        <v>30964</v>
      </c>
      <c r="EZ24">
        <v>31555</v>
      </c>
      <c r="FA24">
        <v>31831</v>
      </c>
      <c r="FB24">
        <v>31821</v>
      </c>
      <c r="FC24">
        <v>31803</v>
      </c>
      <c r="FD24">
        <v>31724</v>
      </c>
      <c r="FE24">
        <v>31302</v>
      </c>
      <c r="FF24">
        <v>30740</v>
      </c>
      <c r="FG24">
        <v>29685</v>
      </c>
      <c r="FH24">
        <v>28528</v>
      </c>
      <c r="FI24">
        <v>27360</v>
      </c>
      <c r="FJ24">
        <v>26590</v>
      </c>
      <c r="FK24">
        <v>25610</v>
      </c>
      <c r="FL24">
        <v>24345</v>
      </c>
      <c r="FM24">
        <v>23048</v>
      </c>
      <c r="FN24">
        <v>21854</v>
      </c>
      <c r="FO24">
        <v>20741</v>
      </c>
      <c r="FP24">
        <v>19467</v>
      </c>
      <c r="FQ24">
        <v>17670</v>
      </c>
      <c r="FR24">
        <v>15714</v>
      </c>
      <c r="FS24">
        <v>14073</v>
      </c>
      <c r="FT24">
        <v>12820</v>
      </c>
      <c r="FU24">
        <v>12442</v>
      </c>
      <c r="FV24">
        <v>11887</v>
      </c>
      <c r="FW24">
        <v>11394</v>
      </c>
      <c r="FX24">
        <v>11046</v>
      </c>
      <c r="FY24">
        <v>10684</v>
      </c>
      <c r="FZ24">
        <v>10188</v>
      </c>
      <c r="GA24">
        <v>9562</v>
      </c>
      <c r="GB24">
        <v>8933</v>
      </c>
      <c r="GC24">
        <v>8385</v>
      </c>
      <c r="GD24">
        <v>7980</v>
      </c>
      <c r="GE24">
        <v>7451</v>
      </c>
      <c r="GF24">
        <v>6738</v>
      </c>
      <c r="GG24">
        <v>6112</v>
      </c>
      <c r="GH24">
        <v>5544</v>
      </c>
      <c r="GI24">
        <v>4961</v>
      </c>
      <c r="GJ24">
        <v>4621</v>
      </c>
      <c r="GK24">
        <v>3775</v>
      </c>
      <c r="GL24">
        <v>3081</v>
      </c>
      <c r="GM24">
        <v>2501</v>
      </c>
      <c r="GN24">
        <v>2164</v>
      </c>
      <c r="GO24">
        <v>1883</v>
      </c>
      <c r="GP24">
        <v>1554</v>
      </c>
      <c r="GQ24">
        <v>1300</v>
      </c>
      <c r="GR24">
        <v>1114</v>
      </c>
      <c r="GS24">
        <v>982</v>
      </c>
      <c r="GT24">
        <v>825</v>
      </c>
      <c r="GU24">
        <v>709</v>
      </c>
      <c r="GV24">
        <v>609</v>
      </c>
      <c r="GW24">
        <v>467</v>
      </c>
      <c r="GX24">
        <v>420</v>
      </c>
      <c r="GY24">
        <v>38.474909630149803</v>
      </c>
      <c r="GZ24">
        <v>1910</v>
      </c>
      <c r="HA24">
        <v>10273</v>
      </c>
      <c r="HB24">
        <v>21043</v>
      </c>
      <c r="HC24">
        <v>20894</v>
      </c>
      <c r="HD24">
        <v>10975</v>
      </c>
      <c r="HE24">
        <v>4686</v>
      </c>
      <c r="HF24">
        <v>1486</v>
      </c>
      <c r="HG24">
        <v>0</v>
      </c>
      <c r="HH24">
        <v>0</v>
      </c>
      <c r="HI24">
        <v>804</v>
      </c>
      <c r="HJ24">
        <v>1002</v>
      </c>
      <c r="HK24">
        <v>8604</v>
      </c>
      <c r="HL24">
        <v>6428</v>
      </c>
      <c r="HM24">
        <v>2113</v>
      </c>
      <c r="HN24">
        <v>44483</v>
      </c>
      <c r="HO24">
        <v>171394</v>
      </c>
      <c r="HP24">
        <v>238936</v>
      </c>
      <c r="HQ24">
        <v>239446</v>
      </c>
      <c r="HR24">
        <v>143772</v>
      </c>
      <c r="HS24">
        <v>58810</v>
      </c>
      <c r="HT24">
        <v>14782</v>
      </c>
      <c r="HU24">
        <v>166453</v>
      </c>
      <c r="HV24">
        <v>199237</v>
      </c>
      <c r="HW24">
        <v>246112</v>
      </c>
      <c r="HX24">
        <v>273835</v>
      </c>
      <c r="HY24">
        <v>144469</v>
      </c>
      <c r="HZ24">
        <v>52567</v>
      </c>
      <c r="IA24">
        <v>13846</v>
      </c>
      <c r="IB24">
        <v>263077</v>
      </c>
      <c r="IC24">
        <v>82081</v>
      </c>
      <c r="ID24">
        <v>40399</v>
      </c>
      <c r="IE24">
        <v>34565</v>
      </c>
      <c r="IF24">
        <v>15861</v>
      </c>
      <c r="IG24">
        <v>4215</v>
      </c>
      <c r="IH24">
        <v>3164</v>
      </c>
      <c r="II24">
        <v>119236</v>
      </c>
      <c r="IJ24">
        <v>34905</v>
      </c>
      <c r="IK24">
        <v>33526</v>
      </c>
      <c r="IL24">
        <v>26488</v>
      </c>
      <c r="IM24">
        <v>17393</v>
      </c>
      <c r="IN24">
        <v>6425</v>
      </c>
      <c r="IO24">
        <v>3187</v>
      </c>
      <c r="IP24">
        <v>109</v>
      </c>
      <c r="IQ24">
        <v>403</v>
      </c>
      <c r="IR24">
        <v>1253</v>
      </c>
      <c r="IS24">
        <v>4329</v>
      </c>
      <c r="IT24">
        <v>9170</v>
      </c>
      <c r="IU24">
        <v>14958</v>
      </c>
      <c r="IV24">
        <v>16983</v>
      </c>
      <c r="IW24">
        <v>0</v>
      </c>
      <c r="IX24">
        <v>0</v>
      </c>
      <c r="IY24">
        <v>58</v>
      </c>
      <c r="IZ24">
        <v>59</v>
      </c>
      <c r="JA24">
        <v>24876</v>
      </c>
      <c r="JB24">
        <v>37081</v>
      </c>
      <c r="JC24">
        <v>39610</v>
      </c>
    </row>
    <row r="25" spans="1:263" x14ac:dyDescent="0.3">
      <c r="A25" s="1">
        <v>2013</v>
      </c>
      <c r="B25" s="1">
        <v>3852828</v>
      </c>
      <c r="C25" s="1">
        <v>1579774</v>
      </c>
      <c r="D25" s="1">
        <v>1918852</v>
      </c>
      <c r="E25" s="1">
        <v>1933976</v>
      </c>
      <c r="F25" s="1">
        <v>0</v>
      </c>
      <c r="G25" s="1">
        <v>20512</v>
      </c>
      <c r="H25" s="1">
        <v>20221</v>
      </c>
      <c r="I25" s="1">
        <v>20001</v>
      </c>
      <c r="J25" s="1">
        <v>19945</v>
      </c>
      <c r="K25" s="1">
        <v>19589</v>
      </c>
      <c r="L25" s="1">
        <v>19780</v>
      </c>
      <c r="M25" s="1">
        <v>19982</v>
      </c>
      <c r="N25" s="1">
        <v>20077</v>
      </c>
      <c r="O25" s="1">
        <v>20731</v>
      </c>
      <c r="P25" s="1">
        <v>21207</v>
      </c>
      <c r="Q25" s="1">
        <v>21607</v>
      </c>
      <c r="R25" s="1">
        <v>22489</v>
      </c>
      <c r="S25" s="1">
        <v>22981</v>
      </c>
      <c r="T25" s="1">
        <v>23609</v>
      </c>
      <c r="U25" s="1">
        <v>24815</v>
      </c>
      <c r="V25" s="1">
        <v>25236</v>
      </c>
      <c r="W25" s="1">
        <v>26083</v>
      </c>
      <c r="X25" s="1">
        <v>26700</v>
      </c>
      <c r="Y25" s="1">
        <v>27795</v>
      </c>
      <c r="Z25" s="1">
        <v>27961</v>
      </c>
      <c r="AA25" s="1">
        <v>29172</v>
      </c>
      <c r="AB25" s="1">
        <v>33988</v>
      </c>
      <c r="AC25" s="1">
        <v>53840</v>
      </c>
      <c r="AD25" s="1">
        <v>28850</v>
      </c>
      <c r="AE25" s="1">
        <v>28763</v>
      </c>
      <c r="AF25" s="1">
        <v>28143</v>
      </c>
      <c r="AG25" s="1">
        <v>28005</v>
      </c>
      <c r="AH25" s="1">
        <v>27376</v>
      </c>
      <c r="AI25" s="1">
        <v>27064</v>
      </c>
      <c r="AJ25" s="1">
        <v>26729</v>
      </c>
      <c r="AK25" s="1">
        <v>26479</v>
      </c>
      <c r="AL25" s="1">
        <v>26109</v>
      </c>
      <c r="AM25" s="1">
        <v>25801</v>
      </c>
      <c r="AN25" s="1">
        <v>25827</v>
      </c>
      <c r="AO25" s="1">
        <v>25968</v>
      </c>
      <c r="AP25" s="1">
        <v>26207</v>
      </c>
      <c r="AQ25" s="1">
        <v>26544</v>
      </c>
      <c r="AR25" s="1">
        <v>27308</v>
      </c>
      <c r="AS25" s="1">
        <v>27510</v>
      </c>
      <c r="AT25" s="1">
        <v>27836</v>
      </c>
      <c r="AU25" s="1">
        <v>28128</v>
      </c>
      <c r="AV25" s="1">
        <v>28396</v>
      </c>
      <c r="AW25" s="1">
        <v>28572</v>
      </c>
      <c r="AX25" s="1">
        <v>28773</v>
      </c>
      <c r="AY25" s="1">
        <v>29224</v>
      </c>
      <c r="AZ25" s="1">
        <v>29904</v>
      </c>
      <c r="BA25" s="1">
        <v>30948</v>
      </c>
      <c r="BB25" s="1">
        <v>31747</v>
      </c>
      <c r="BC25" s="1">
        <v>32906</v>
      </c>
      <c r="BD25" s="1">
        <v>33257</v>
      </c>
      <c r="BE25" s="1">
        <v>33217</v>
      </c>
      <c r="BF25" s="1">
        <v>32881</v>
      </c>
      <c r="BG25" s="1">
        <v>32567</v>
      </c>
      <c r="BH25" s="1">
        <v>31889</v>
      </c>
      <c r="BI25" s="1">
        <v>31135</v>
      </c>
      <c r="BJ25" s="1">
        <v>29806</v>
      </c>
      <c r="BK25" s="1">
        <v>28361</v>
      </c>
      <c r="BL25" s="1">
        <v>27150</v>
      </c>
      <c r="BM25" s="1">
        <v>26044</v>
      </c>
      <c r="BN25" s="1">
        <v>25096</v>
      </c>
      <c r="BO25" s="1">
        <v>24028</v>
      </c>
      <c r="BP25" s="1">
        <v>22749</v>
      </c>
      <c r="BQ25" s="1">
        <v>21442</v>
      </c>
      <c r="BR25" s="1">
        <v>20125</v>
      </c>
      <c r="BS25" s="1">
        <v>18794</v>
      </c>
      <c r="BT25" s="1">
        <v>17367</v>
      </c>
      <c r="BU25" s="1">
        <v>15583</v>
      </c>
      <c r="BV25" s="1">
        <v>13896</v>
      </c>
      <c r="BW25" s="1">
        <v>12330</v>
      </c>
      <c r="BX25" s="1">
        <v>11239</v>
      </c>
      <c r="BY25" s="1">
        <v>10422</v>
      </c>
      <c r="BZ25" s="1">
        <v>9873</v>
      </c>
      <c r="CA25" s="1">
        <v>9272</v>
      </c>
      <c r="CB25" s="1">
        <v>8904</v>
      </c>
      <c r="CC25" s="1">
        <v>8339</v>
      </c>
      <c r="CD25" s="1">
        <v>7782</v>
      </c>
      <c r="CE25" s="1">
        <v>7150</v>
      </c>
      <c r="CF25" s="1">
        <v>6511</v>
      </c>
      <c r="CG25" s="1">
        <v>5949</v>
      </c>
      <c r="CH25" s="1">
        <v>5457</v>
      </c>
      <c r="CI25" s="1">
        <v>4976</v>
      </c>
      <c r="CJ25" s="1">
        <v>4391</v>
      </c>
      <c r="CK25" s="1">
        <v>3792</v>
      </c>
      <c r="CL25" s="1">
        <v>3449</v>
      </c>
      <c r="CM25" s="1">
        <v>3089</v>
      </c>
      <c r="CN25" s="1">
        <v>2485</v>
      </c>
      <c r="CO25" s="1">
        <v>1931</v>
      </c>
      <c r="CP25" s="1">
        <v>1545</v>
      </c>
      <c r="CQ25" s="1">
        <v>1286</v>
      </c>
      <c r="CR25" s="1">
        <v>1027</v>
      </c>
      <c r="CS25" s="1">
        <v>891</v>
      </c>
      <c r="CT25" s="1">
        <v>696</v>
      </c>
      <c r="CU25" s="1">
        <v>610</v>
      </c>
      <c r="CV25" s="1">
        <v>474</v>
      </c>
      <c r="CW25" s="1">
        <v>398</v>
      </c>
      <c r="CX25" s="1">
        <v>324</v>
      </c>
      <c r="CY25" s="1">
        <v>280</v>
      </c>
      <c r="CZ25" s="1">
        <v>215</v>
      </c>
      <c r="DA25" s="1">
        <v>164</v>
      </c>
      <c r="DB25">
        <v>37.954896469170102</v>
      </c>
      <c r="DC25">
        <v>0</v>
      </c>
      <c r="DD25">
        <v>22085</v>
      </c>
      <c r="DE25">
        <v>21841</v>
      </c>
      <c r="DF25">
        <v>22072</v>
      </c>
      <c r="DG25">
        <v>21324</v>
      </c>
      <c r="DH25">
        <v>21447</v>
      </c>
      <c r="DI25">
        <v>21298</v>
      </c>
      <c r="DJ25">
        <v>21298</v>
      </c>
      <c r="DK25">
        <v>21618</v>
      </c>
      <c r="DL25">
        <v>21972</v>
      </c>
      <c r="DM25">
        <v>22827</v>
      </c>
      <c r="DN25">
        <v>23033</v>
      </c>
      <c r="DO25">
        <v>23676</v>
      </c>
      <c r="DP25">
        <v>24679</v>
      </c>
      <c r="DQ25">
        <v>25000</v>
      </c>
      <c r="DR25">
        <v>25988</v>
      </c>
      <c r="DS25">
        <v>26697</v>
      </c>
      <c r="DT25">
        <v>27657</v>
      </c>
      <c r="DU25">
        <v>28236</v>
      </c>
      <c r="DV25">
        <v>28757</v>
      </c>
      <c r="DW25">
        <v>29219</v>
      </c>
      <c r="DX25">
        <v>29771</v>
      </c>
      <c r="DY25">
        <v>33020</v>
      </c>
      <c r="DZ25">
        <v>52436</v>
      </c>
      <c r="EA25">
        <v>25491</v>
      </c>
      <c r="EB25">
        <v>25304</v>
      </c>
      <c r="EC25">
        <v>25057</v>
      </c>
      <c r="ED25">
        <v>24685</v>
      </c>
      <c r="EE25">
        <v>24150</v>
      </c>
      <c r="EF25">
        <v>23719</v>
      </c>
      <c r="EG25">
        <v>23376</v>
      </c>
      <c r="EH25">
        <v>23081</v>
      </c>
      <c r="EI25">
        <v>22960</v>
      </c>
      <c r="EJ25">
        <v>22743</v>
      </c>
      <c r="EK25">
        <v>22787</v>
      </c>
      <c r="EL25">
        <v>22759</v>
      </c>
      <c r="EM25">
        <v>23082</v>
      </c>
      <c r="EN25">
        <v>23541</v>
      </c>
      <c r="EO25">
        <v>24144</v>
      </c>
      <c r="EP25">
        <v>24743</v>
      </c>
      <c r="EQ25">
        <v>25047</v>
      </c>
      <c r="ER25">
        <v>25478</v>
      </c>
      <c r="ES25">
        <v>25805</v>
      </c>
      <c r="ET25">
        <v>26183</v>
      </c>
      <c r="EU25">
        <v>26758</v>
      </c>
      <c r="EV25">
        <v>27099</v>
      </c>
      <c r="EW25">
        <v>27879</v>
      </c>
      <c r="EX25">
        <v>28995</v>
      </c>
      <c r="EY25">
        <v>30139</v>
      </c>
      <c r="EZ25">
        <v>31004</v>
      </c>
      <c r="FA25">
        <v>31603</v>
      </c>
      <c r="FB25">
        <v>31839</v>
      </c>
      <c r="FC25">
        <v>31846</v>
      </c>
      <c r="FD25">
        <v>31845</v>
      </c>
      <c r="FE25">
        <v>31732</v>
      </c>
      <c r="FF25">
        <v>31302</v>
      </c>
      <c r="FG25">
        <v>30720</v>
      </c>
      <c r="FH25">
        <v>29647</v>
      </c>
      <c r="FI25">
        <v>28484</v>
      </c>
      <c r="FJ25">
        <v>27361</v>
      </c>
      <c r="FK25">
        <v>26571</v>
      </c>
      <c r="FL25">
        <v>25562</v>
      </c>
      <c r="FM25">
        <v>24269</v>
      </c>
      <c r="FN25">
        <v>23000</v>
      </c>
      <c r="FO25">
        <v>21788</v>
      </c>
      <c r="FP25">
        <v>20670</v>
      </c>
      <c r="FQ25">
        <v>19362</v>
      </c>
      <c r="FR25">
        <v>17559</v>
      </c>
      <c r="FS25">
        <v>15621</v>
      </c>
      <c r="FT25">
        <v>13974</v>
      </c>
      <c r="FU25">
        <v>12746</v>
      </c>
      <c r="FV25">
        <v>12258</v>
      </c>
      <c r="FW25">
        <v>11730</v>
      </c>
      <c r="FX25">
        <v>11254</v>
      </c>
      <c r="FY25">
        <v>10893</v>
      </c>
      <c r="FZ25">
        <v>10538</v>
      </c>
      <c r="GA25">
        <v>9911</v>
      </c>
      <c r="GB25">
        <v>9274</v>
      </c>
      <c r="GC25">
        <v>8690</v>
      </c>
      <c r="GD25">
        <v>8146</v>
      </c>
      <c r="GE25">
        <v>7770</v>
      </c>
      <c r="GF25">
        <v>7057</v>
      </c>
      <c r="GG25">
        <v>6394</v>
      </c>
      <c r="GH25">
        <v>5784</v>
      </c>
      <c r="GI25">
        <v>5284</v>
      </c>
      <c r="GJ25">
        <v>4699</v>
      </c>
      <c r="GK25">
        <v>4085</v>
      </c>
      <c r="GL25">
        <v>3377</v>
      </c>
      <c r="GM25">
        <v>2747</v>
      </c>
      <c r="GN25">
        <v>2218</v>
      </c>
      <c r="GO25">
        <v>1921</v>
      </c>
      <c r="GP25">
        <v>1675</v>
      </c>
      <c r="GQ25">
        <v>1360</v>
      </c>
      <c r="GR25">
        <v>1153</v>
      </c>
      <c r="GS25">
        <v>1001</v>
      </c>
      <c r="GT25">
        <v>863</v>
      </c>
      <c r="GU25">
        <v>743</v>
      </c>
      <c r="GV25">
        <v>631</v>
      </c>
      <c r="GW25">
        <v>560</v>
      </c>
      <c r="GX25">
        <v>421</v>
      </c>
      <c r="GY25">
        <v>38.836312269074199</v>
      </c>
      <c r="GZ25">
        <v>1933</v>
      </c>
      <c r="HA25">
        <v>10242</v>
      </c>
      <c r="HB25">
        <v>21187</v>
      </c>
      <c r="HC25">
        <v>21719</v>
      </c>
      <c r="HD25">
        <v>12238</v>
      </c>
      <c r="HE25">
        <v>5129</v>
      </c>
      <c r="HF25">
        <v>1682</v>
      </c>
      <c r="HG25">
        <v>0</v>
      </c>
      <c r="HH25">
        <v>0</v>
      </c>
      <c r="HI25">
        <v>715</v>
      </c>
      <c r="HJ25">
        <v>1070</v>
      </c>
      <c r="HK25">
        <v>465</v>
      </c>
      <c r="HL25">
        <v>5382</v>
      </c>
      <c r="HM25">
        <v>2421</v>
      </c>
      <c r="HN25">
        <v>44549</v>
      </c>
      <c r="HO25">
        <v>170410</v>
      </c>
      <c r="HP25">
        <v>235168</v>
      </c>
      <c r="HQ25">
        <v>244104</v>
      </c>
      <c r="HR25">
        <v>152474</v>
      </c>
      <c r="HS25">
        <v>61471</v>
      </c>
      <c r="HT25">
        <v>15683</v>
      </c>
      <c r="HU25">
        <v>146674</v>
      </c>
      <c r="HV25">
        <v>197493</v>
      </c>
      <c r="HW25">
        <v>239070</v>
      </c>
      <c r="HX25">
        <v>277075</v>
      </c>
      <c r="HY25">
        <v>189831</v>
      </c>
      <c r="HZ25">
        <v>60584</v>
      </c>
      <c r="IA25">
        <v>14799</v>
      </c>
      <c r="IB25">
        <v>266547</v>
      </c>
      <c r="IC25">
        <v>83286</v>
      </c>
      <c r="ID25">
        <v>38806</v>
      </c>
      <c r="IE25">
        <v>36385</v>
      </c>
      <c r="IF25">
        <v>17392</v>
      </c>
      <c r="IG25">
        <v>3779</v>
      </c>
      <c r="IH25">
        <v>3210</v>
      </c>
      <c r="II25">
        <v>146178</v>
      </c>
      <c r="IJ25">
        <v>35723</v>
      </c>
      <c r="IK25">
        <v>34548</v>
      </c>
      <c r="IL25">
        <v>28173</v>
      </c>
      <c r="IM25">
        <v>15535</v>
      </c>
      <c r="IN25">
        <v>6783</v>
      </c>
      <c r="IO25">
        <v>3516</v>
      </c>
      <c r="IP25">
        <v>133</v>
      </c>
      <c r="IQ25">
        <v>544</v>
      </c>
      <c r="IR25">
        <v>1273</v>
      </c>
      <c r="IS25">
        <v>4099</v>
      </c>
      <c r="IT25">
        <v>9306</v>
      </c>
      <c r="IU25">
        <v>15062</v>
      </c>
      <c r="IV25">
        <v>17681</v>
      </c>
      <c r="IW25">
        <v>0</v>
      </c>
      <c r="IX25">
        <v>0</v>
      </c>
      <c r="IY25">
        <v>54</v>
      </c>
      <c r="IZ25">
        <v>61</v>
      </c>
      <c r="JA25">
        <v>2545</v>
      </c>
      <c r="JB25">
        <v>32691</v>
      </c>
      <c r="JC25">
        <v>41085</v>
      </c>
    </row>
    <row r="26" spans="1:263" x14ac:dyDescent="0.3">
      <c r="A26" s="1">
        <v>2014</v>
      </c>
      <c r="B26" s="1">
        <v>3886657</v>
      </c>
      <c r="C26" s="1">
        <v>1647761</v>
      </c>
      <c r="D26" s="1">
        <v>1934916</v>
      </c>
      <c r="E26" s="1">
        <v>1951741</v>
      </c>
      <c r="F26" s="1">
        <v>0</v>
      </c>
      <c r="G26" s="1">
        <v>20790</v>
      </c>
      <c r="H26" s="1">
        <v>20518</v>
      </c>
      <c r="I26" s="1">
        <v>20246</v>
      </c>
      <c r="J26" s="1">
        <v>20032</v>
      </c>
      <c r="K26" s="1">
        <v>19990</v>
      </c>
      <c r="L26" s="1">
        <v>19641</v>
      </c>
      <c r="M26" s="1">
        <v>19836</v>
      </c>
      <c r="N26" s="1">
        <v>20067</v>
      </c>
      <c r="O26" s="1">
        <v>20163</v>
      </c>
      <c r="P26" s="1">
        <v>20843</v>
      </c>
      <c r="Q26" s="1">
        <v>21313</v>
      </c>
      <c r="R26" s="1">
        <v>21732</v>
      </c>
      <c r="S26" s="1">
        <v>22603</v>
      </c>
      <c r="T26" s="1">
        <v>23113</v>
      </c>
      <c r="U26" s="1">
        <v>23731</v>
      </c>
      <c r="V26" s="1">
        <v>24945</v>
      </c>
      <c r="W26" s="1">
        <v>25373</v>
      </c>
      <c r="X26" s="1">
        <v>26240</v>
      </c>
      <c r="Y26" s="1">
        <v>26880</v>
      </c>
      <c r="Z26" s="1">
        <v>27975</v>
      </c>
      <c r="AA26" s="1">
        <v>28150</v>
      </c>
      <c r="AB26" s="1">
        <v>29400</v>
      </c>
      <c r="AC26" s="1">
        <v>34370</v>
      </c>
      <c r="AD26" s="1">
        <v>54043</v>
      </c>
      <c r="AE26" s="1">
        <v>29067</v>
      </c>
      <c r="AF26" s="1">
        <v>28966</v>
      </c>
      <c r="AG26" s="1">
        <v>28333</v>
      </c>
      <c r="AH26" s="1">
        <v>28221</v>
      </c>
      <c r="AI26" s="1">
        <v>27557</v>
      </c>
      <c r="AJ26" s="1">
        <v>27258</v>
      </c>
      <c r="AK26" s="1">
        <v>26932</v>
      </c>
      <c r="AL26" s="1">
        <v>26668</v>
      </c>
      <c r="AM26" s="1">
        <v>26291</v>
      </c>
      <c r="AN26" s="1">
        <v>25969</v>
      </c>
      <c r="AO26" s="1">
        <v>25976</v>
      </c>
      <c r="AP26" s="1">
        <v>26102</v>
      </c>
      <c r="AQ26" s="1">
        <v>26320</v>
      </c>
      <c r="AR26" s="1">
        <v>26648</v>
      </c>
      <c r="AS26" s="1">
        <v>27403</v>
      </c>
      <c r="AT26" s="1">
        <v>27574</v>
      </c>
      <c r="AU26" s="1">
        <v>27897</v>
      </c>
      <c r="AV26" s="1">
        <v>28166</v>
      </c>
      <c r="AW26" s="1">
        <v>28436</v>
      </c>
      <c r="AX26" s="1">
        <v>28600</v>
      </c>
      <c r="AY26" s="1">
        <v>28804</v>
      </c>
      <c r="AZ26" s="1">
        <v>29232</v>
      </c>
      <c r="BA26" s="1">
        <v>29903</v>
      </c>
      <c r="BB26" s="1">
        <v>30946</v>
      </c>
      <c r="BC26" s="1">
        <v>31730</v>
      </c>
      <c r="BD26" s="1">
        <v>32889</v>
      </c>
      <c r="BE26" s="1">
        <v>33181</v>
      </c>
      <c r="BF26" s="1">
        <v>33145</v>
      </c>
      <c r="BG26" s="1">
        <v>32822</v>
      </c>
      <c r="BH26" s="1">
        <v>32495</v>
      </c>
      <c r="BI26" s="1">
        <v>31808</v>
      </c>
      <c r="BJ26" s="1">
        <v>30980</v>
      </c>
      <c r="BK26" s="1">
        <v>29644</v>
      </c>
      <c r="BL26" s="1">
        <v>28211</v>
      </c>
      <c r="BM26" s="1">
        <v>26980</v>
      </c>
      <c r="BN26" s="1">
        <v>25907</v>
      </c>
      <c r="BO26" s="1">
        <v>24854</v>
      </c>
      <c r="BP26" s="1">
        <v>23815</v>
      </c>
      <c r="BQ26" s="1">
        <v>22536</v>
      </c>
      <c r="BR26" s="1">
        <v>21235</v>
      </c>
      <c r="BS26" s="1">
        <v>19913</v>
      </c>
      <c r="BT26" s="1">
        <v>18495</v>
      </c>
      <c r="BU26" s="1">
        <v>17090</v>
      </c>
      <c r="BV26" s="1">
        <v>15333</v>
      </c>
      <c r="BW26" s="1">
        <v>13680</v>
      </c>
      <c r="BX26" s="1">
        <v>12112</v>
      </c>
      <c r="BY26" s="1">
        <v>10911</v>
      </c>
      <c r="BZ26" s="1">
        <v>10127</v>
      </c>
      <c r="CA26" s="1">
        <v>9616</v>
      </c>
      <c r="CB26" s="1">
        <v>8989</v>
      </c>
      <c r="CC26" s="1">
        <v>8665</v>
      </c>
      <c r="CD26" s="1">
        <v>7965</v>
      </c>
      <c r="CE26" s="1">
        <v>7439</v>
      </c>
      <c r="CF26" s="1">
        <v>6816</v>
      </c>
      <c r="CG26" s="1">
        <v>6205</v>
      </c>
      <c r="CH26" s="1">
        <v>5657</v>
      </c>
      <c r="CI26" s="1">
        <v>5050</v>
      </c>
      <c r="CJ26" s="1">
        <v>4582</v>
      </c>
      <c r="CK26" s="1">
        <v>4058</v>
      </c>
      <c r="CL26" s="1">
        <v>3517</v>
      </c>
      <c r="CM26" s="1">
        <v>3198</v>
      </c>
      <c r="CN26" s="1">
        <v>2672</v>
      </c>
      <c r="CO26" s="1">
        <v>2168</v>
      </c>
      <c r="CP26" s="1">
        <v>1673</v>
      </c>
      <c r="CQ26" s="1">
        <v>1335</v>
      </c>
      <c r="CR26" s="1">
        <v>1127</v>
      </c>
      <c r="CS26" s="1">
        <v>882</v>
      </c>
      <c r="CT26" s="1">
        <v>760</v>
      </c>
      <c r="CU26" s="1">
        <v>597</v>
      </c>
      <c r="CV26" s="1">
        <v>539</v>
      </c>
      <c r="CW26" s="1">
        <v>401</v>
      </c>
      <c r="CX26" s="1">
        <v>338</v>
      </c>
      <c r="CY26" s="1">
        <v>282</v>
      </c>
      <c r="CZ26" s="1">
        <v>238</v>
      </c>
      <c r="DA26" s="1">
        <v>189</v>
      </c>
      <c r="DB26">
        <v>38.307063596044401</v>
      </c>
      <c r="DC26">
        <v>0</v>
      </c>
      <c r="DD26">
        <v>22422</v>
      </c>
      <c r="DE26">
        <v>22082</v>
      </c>
      <c r="DF26">
        <v>21852</v>
      </c>
      <c r="DG26">
        <v>22090</v>
      </c>
      <c r="DH26">
        <v>21351</v>
      </c>
      <c r="DI26">
        <v>21482</v>
      </c>
      <c r="DJ26">
        <v>21330</v>
      </c>
      <c r="DK26">
        <v>21335</v>
      </c>
      <c r="DL26">
        <v>21654</v>
      </c>
      <c r="DM26">
        <v>22028</v>
      </c>
      <c r="DN26">
        <v>22885</v>
      </c>
      <c r="DO26">
        <v>23103</v>
      </c>
      <c r="DP26">
        <v>23741</v>
      </c>
      <c r="DQ26">
        <v>24752</v>
      </c>
      <c r="DR26">
        <v>25084</v>
      </c>
      <c r="DS26">
        <v>26068</v>
      </c>
      <c r="DT26">
        <v>26797</v>
      </c>
      <c r="DU26">
        <v>27746</v>
      </c>
      <c r="DV26">
        <v>28324</v>
      </c>
      <c r="DW26">
        <v>28856</v>
      </c>
      <c r="DX26">
        <v>29328</v>
      </c>
      <c r="DY26">
        <v>29901</v>
      </c>
      <c r="DZ26">
        <v>33247</v>
      </c>
      <c r="EA26">
        <v>52551</v>
      </c>
      <c r="EB26">
        <v>25597</v>
      </c>
      <c r="EC26">
        <v>25399</v>
      </c>
      <c r="ED26">
        <v>25155</v>
      </c>
      <c r="EE26">
        <v>24788</v>
      </c>
      <c r="EF26">
        <v>24248</v>
      </c>
      <c r="EG26">
        <v>23827</v>
      </c>
      <c r="EH26">
        <v>23483</v>
      </c>
      <c r="EI26">
        <v>23187</v>
      </c>
      <c r="EJ26">
        <v>23055</v>
      </c>
      <c r="EK26">
        <v>22860</v>
      </c>
      <c r="EL26">
        <v>22875</v>
      </c>
      <c r="EM26">
        <v>22806</v>
      </c>
      <c r="EN26">
        <v>23123</v>
      </c>
      <c r="EO26">
        <v>23590</v>
      </c>
      <c r="EP26">
        <v>24186</v>
      </c>
      <c r="EQ26">
        <v>24782</v>
      </c>
      <c r="ER26">
        <v>25081</v>
      </c>
      <c r="ES26">
        <v>25523</v>
      </c>
      <c r="ET26">
        <v>25851</v>
      </c>
      <c r="EU26">
        <v>26240</v>
      </c>
      <c r="EV26">
        <v>26790</v>
      </c>
      <c r="EW26">
        <v>27147</v>
      </c>
      <c r="EX26">
        <v>27896</v>
      </c>
      <c r="EY26">
        <v>29038</v>
      </c>
      <c r="EZ26">
        <v>30174</v>
      </c>
      <c r="FA26">
        <v>31058</v>
      </c>
      <c r="FB26">
        <v>31600</v>
      </c>
      <c r="FC26">
        <v>31879</v>
      </c>
      <c r="FD26">
        <v>31855</v>
      </c>
      <c r="FE26">
        <v>31858</v>
      </c>
      <c r="FF26">
        <v>31744</v>
      </c>
      <c r="FG26">
        <v>31283</v>
      </c>
      <c r="FH26">
        <v>30688</v>
      </c>
      <c r="FI26">
        <v>29638</v>
      </c>
      <c r="FJ26">
        <v>28446</v>
      </c>
      <c r="FK26">
        <v>27345</v>
      </c>
      <c r="FL26">
        <v>26491</v>
      </c>
      <c r="FM26">
        <v>25484</v>
      </c>
      <c r="FN26">
        <v>24224</v>
      </c>
      <c r="FO26">
        <v>22909</v>
      </c>
      <c r="FP26">
        <v>21708</v>
      </c>
      <c r="FQ26">
        <v>20525</v>
      </c>
      <c r="FR26">
        <v>19233</v>
      </c>
      <c r="FS26">
        <v>17440</v>
      </c>
      <c r="FT26">
        <v>15509</v>
      </c>
      <c r="FU26">
        <v>13877</v>
      </c>
      <c r="FV26">
        <v>12593</v>
      </c>
      <c r="FW26">
        <v>12102</v>
      </c>
      <c r="FX26">
        <v>11546</v>
      </c>
      <c r="FY26">
        <v>11089</v>
      </c>
      <c r="FZ26">
        <v>10733</v>
      </c>
      <c r="GA26">
        <v>10276</v>
      </c>
      <c r="GB26">
        <v>9645</v>
      </c>
      <c r="GC26">
        <v>9027</v>
      </c>
      <c r="GD26">
        <v>8446</v>
      </c>
      <c r="GE26">
        <v>7894</v>
      </c>
      <c r="GF26">
        <v>7400</v>
      </c>
      <c r="GG26">
        <v>6708</v>
      </c>
      <c r="GH26">
        <v>6089</v>
      </c>
      <c r="GI26">
        <v>5481</v>
      </c>
      <c r="GJ26">
        <v>5032</v>
      </c>
      <c r="GK26">
        <v>4172</v>
      </c>
      <c r="GL26">
        <v>3641</v>
      </c>
      <c r="GM26">
        <v>2968</v>
      </c>
      <c r="GN26">
        <v>2454</v>
      </c>
      <c r="GO26">
        <v>1961</v>
      </c>
      <c r="GP26">
        <v>1691</v>
      </c>
      <c r="GQ26">
        <v>1468</v>
      </c>
      <c r="GR26">
        <v>1200</v>
      </c>
      <c r="GS26">
        <v>1030</v>
      </c>
      <c r="GT26">
        <v>902</v>
      </c>
      <c r="GU26">
        <v>778</v>
      </c>
      <c r="GV26">
        <v>647</v>
      </c>
      <c r="GW26">
        <v>549</v>
      </c>
      <c r="GX26">
        <v>495</v>
      </c>
      <c r="GY26">
        <v>39.186377063904402</v>
      </c>
      <c r="GZ26">
        <v>1942</v>
      </c>
      <c r="HA26">
        <v>10238</v>
      </c>
      <c r="HB26">
        <v>21146</v>
      </c>
      <c r="HC26">
        <v>22651</v>
      </c>
      <c r="HD26">
        <v>13549</v>
      </c>
      <c r="HE26">
        <v>5634</v>
      </c>
      <c r="HF26">
        <v>1904</v>
      </c>
      <c r="HG26">
        <v>0</v>
      </c>
      <c r="HH26">
        <v>0</v>
      </c>
      <c r="HI26">
        <v>625</v>
      </c>
      <c r="HJ26">
        <v>1126</v>
      </c>
      <c r="HK26">
        <v>562</v>
      </c>
      <c r="HL26">
        <v>124</v>
      </c>
      <c r="HM26">
        <v>2318</v>
      </c>
      <c r="HN26">
        <v>44362</v>
      </c>
      <c r="HO26">
        <v>169696</v>
      </c>
      <c r="HP26">
        <v>231187</v>
      </c>
      <c r="HQ26">
        <v>248232</v>
      </c>
      <c r="HR26">
        <v>160671</v>
      </c>
      <c r="HS26">
        <v>64573</v>
      </c>
      <c r="HT26">
        <v>16644</v>
      </c>
      <c r="HU26">
        <v>126629</v>
      </c>
      <c r="HV26">
        <v>196435</v>
      </c>
      <c r="HW26">
        <v>232259</v>
      </c>
      <c r="HX26">
        <v>278969</v>
      </c>
      <c r="HY26">
        <v>200885</v>
      </c>
      <c r="HZ26">
        <v>98320</v>
      </c>
      <c r="IA26">
        <v>20683</v>
      </c>
      <c r="IB26">
        <v>269575</v>
      </c>
      <c r="IC26">
        <v>84847</v>
      </c>
      <c r="ID26">
        <v>37644</v>
      </c>
      <c r="IE26">
        <v>37404</v>
      </c>
      <c r="IF26">
        <v>19203</v>
      </c>
      <c r="IG26">
        <v>3348</v>
      </c>
      <c r="IH26">
        <v>3240</v>
      </c>
      <c r="II26">
        <v>172441</v>
      </c>
      <c r="IJ26">
        <v>36557</v>
      </c>
      <c r="IK26">
        <v>35588</v>
      </c>
      <c r="IL26">
        <v>29883</v>
      </c>
      <c r="IM26">
        <v>17341</v>
      </c>
      <c r="IN26">
        <v>7178</v>
      </c>
      <c r="IO26">
        <v>3846</v>
      </c>
      <c r="IP26">
        <v>203</v>
      </c>
      <c r="IQ26">
        <v>786</v>
      </c>
      <c r="IR26">
        <v>1311</v>
      </c>
      <c r="IS26">
        <v>3868</v>
      </c>
      <c r="IT26">
        <v>9435</v>
      </c>
      <c r="IU26">
        <v>15290</v>
      </c>
      <c r="IV26">
        <v>18277</v>
      </c>
      <c r="IW26">
        <v>0</v>
      </c>
      <c r="IX26">
        <v>0</v>
      </c>
      <c r="IY26">
        <v>50</v>
      </c>
      <c r="IZ26">
        <v>71</v>
      </c>
      <c r="JA26">
        <v>2080</v>
      </c>
      <c r="JB26">
        <v>3712</v>
      </c>
      <c r="JC26">
        <v>37933</v>
      </c>
    </row>
    <row r="27" spans="1:263" x14ac:dyDescent="0.3">
      <c r="A27" s="1">
        <v>2015</v>
      </c>
      <c r="B27" s="1">
        <v>3918984</v>
      </c>
      <c r="C27" s="1">
        <v>1694539</v>
      </c>
      <c r="D27" s="1">
        <v>1949990</v>
      </c>
      <c r="E27" s="1">
        <v>1968994</v>
      </c>
      <c r="F27" s="1">
        <v>0</v>
      </c>
      <c r="G27" s="1">
        <v>20618</v>
      </c>
      <c r="H27" s="1">
        <v>20797</v>
      </c>
      <c r="I27" s="1">
        <v>20543</v>
      </c>
      <c r="J27" s="1">
        <v>20277</v>
      </c>
      <c r="K27" s="1">
        <v>20064</v>
      </c>
      <c r="L27" s="1">
        <v>20029</v>
      </c>
      <c r="M27" s="1">
        <v>19715</v>
      </c>
      <c r="N27" s="1">
        <v>19901</v>
      </c>
      <c r="O27" s="1">
        <v>20148</v>
      </c>
      <c r="P27" s="1">
        <v>20259</v>
      </c>
      <c r="Q27" s="1">
        <v>20932</v>
      </c>
      <c r="R27" s="1">
        <v>21401</v>
      </c>
      <c r="S27" s="1">
        <v>21857</v>
      </c>
      <c r="T27" s="1">
        <v>22725</v>
      </c>
      <c r="U27" s="1">
        <v>23238</v>
      </c>
      <c r="V27" s="1">
        <v>23864</v>
      </c>
      <c r="W27" s="1">
        <v>25112</v>
      </c>
      <c r="X27" s="1">
        <v>25539</v>
      </c>
      <c r="Y27" s="1">
        <v>26394</v>
      </c>
      <c r="Z27" s="1">
        <v>27039</v>
      </c>
      <c r="AA27" s="1">
        <v>28141</v>
      </c>
      <c r="AB27" s="1">
        <v>28312</v>
      </c>
      <c r="AC27" s="1">
        <v>29602</v>
      </c>
      <c r="AD27" s="1">
        <v>34755</v>
      </c>
      <c r="AE27" s="1">
        <v>54243</v>
      </c>
      <c r="AF27" s="1">
        <v>29238</v>
      </c>
      <c r="AG27" s="1">
        <v>29138</v>
      </c>
      <c r="AH27" s="1">
        <v>28510</v>
      </c>
      <c r="AI27" s="1">
        <v>28404</v>
      </c>
      <c r="AJ27" s="1">
        <v>27720</v>
      </c>
      <c r="AK27" s="1">
        <v>27443</v>
      </c>
      <c r="AL27" s="1">
        <v>27100</v>
      </c>
      <c r="AM27" s="1">
        <v>26825</v>
      </c>
      <c r="AN27" s="1">
        <v>26460</v>
      </c>
      <c r="AO27" s="1">
        <v>26125</v>
      </c>
      <c r="AP27" s="1">
        <v>26116</v>
      </c>
      <c r="AQ27" s="1">
        <v>26233</v>
      </c>
      <c r="AR27" s="1">
        <v>26402</v>
      </c>
      <c r="AS27" s="1">
        <v>26751</v>
      </c>
      <c r="AT27" s="1">
        <v>27505</v>
      </c>
      <c r="AU27" s="1">
        <v>27636</v>
      </c>
      <c r="AV27" s="1">
        <v>27961</v>
      </c>
      <c r="AW27" s="1">
        <v>28208</v>
      </c>
      <c r="AX27" s="1">
        <v>28471</v>
      </c>
      <c r="AY27" s="1">
        <v>28632</v>
      </c>
      <c r="AZ27" s="1">
        <v>28810</v>
      </c>
      <c r="BA27" s="1">
        <v>29225</v>
      </c>
      <c r="BB27" s="1">
        <v>29891</v>
      </c>
      <c r="BC27" s="1">
        <v>30927</v>
      </c>
      <c r="BD27" s="1">
        <v>31713</v>
      </c>
      <c r="BE27" s="1">
        <v>32805</v>
      </c>
      <c r="BF27" s="1">
        <v>33121</v>
      </c>
      <c r="BG27" s="1">
        <v>33067</v>
      </c>
      <c r="BH27" s="1">
        <v>32718</v>
      </c>
      <c r="BI27" s="1">
        <v>32420</v>
      </c>
      <c r="BJ27" s="1">
        <v>31643</v>
      </c>
      <c r="BK27" s="1">
        <v>30795</v>
      </c>
      <c r="BL27" s="1">
        <v>29494</v>
      </c>
      <c r="BM27" s="1">
        <v>28066</v>
      </c>
      <c r="BN27" s="1">
        <v>26812</v>
      </c>
      <c r="BO27" s="1">
        <v>25649</v>
      </c>
      <c r="BP27" s="1">
        <v>24630</v>
      </c>
      <c r="BQ27" s="1">
        <v>23599</v>
      </c>
      <c r="BR27" s="1">
        <v>22318</v>
      </c>
      <c r="BS27" s="1">
        <v>21033</v>
      </c>
      <c r="BT27" s="1">
        <v>19583</v>
      </c>
      <c r="BU27" s="1">
        <v>18210</v>
      </c>
      <c r="BV27" s="1">
        <v>16825</v>
      </c>
      <c r="BW27" s="1">
        <v>15097</v>
      </c>
      <c r="BX27" s="1">
        <v>13456</v>
      </c>
      <c r="BY27" s="1">
        <v>11756</v>
      </c>
      <c r="BZ27" s="1">
        <v>10594</v>
      </c>
      <c r="CA27" s="1">
        <v>9863</v>
      </c>
      <c r="CB27" s="1">
        <v>9332</v>
      </c>
      <c r="CC27" s="1">
        <v>8746</v>
      </c>
      <c r="CD27" s="1">
        <v>8262</v>
      </c>
      <c r="CE27" s="1">
        <v>7602</v>
      </c>
      <c r="CF27" s="1">
        <v>7113</v>
      </c>
      <c r="CG27" s="1">
        <v>6500</v>
      </c>
      <c r="CH27" s="1">
        <v>5905</v>
      </c>
      <c r="CI27" s="1">
        <v>5227</v>
      </c>
      <c r="CJ27" s="1">
        <v>4664</v>
      </c>
      <c r="CK27" s="1">
        <v>4223</v>
      </c>
      <c r="CL27" s="1">
        <v>3746</v>
      </c>
      <c r="CM27" s="1">
        <v>3264</v>
      </c>
      <c r="CN27" s="1">
        <v>2772</v>
      </c>
      <c r="CO27" s="1">
        <v>2291</v>
      </c>
      <c r="CP27" s="1">
        <v>1863</v>
      </c>
      <c r="CQ27" s="1">
        <v>1453</v>
      </c>
      <c r="CR27" s="1">
        <v>1171</v>
      </c>
      <c r="CS27" s="1">
        <v>971</v>
      </c>
      <c r="CT27" s="1">
        <v>776</v>
      </c>
      <c r="CU27" s="1">
        <v>660</v>
      </c>
      <c r="CV27" s="1">
        <v>523</v>
      </c>
      <c r="CW27" s="1">
        <v>467</v>
      </c>
      <c r="CX27" s="1">
        <v>345</v>
      </c>
      <c r="CY27" s="1">
        <v>296</v>
      </c>
      <c r="CZ27" s="1">
        <v>244</v>
      </c>
      <c r="DA27" s="1">
        <v>215</v>
      </c>
      <c r="DB27">
        <v>38.658436515909102</v>
      </c>
      <c r="DC27">
        <v>0</v>
      </c>
      <c r="DD27">
        <v>22548</v>
      </c>
      <c r="DE27">
        <v>22423</v>
      </c>
      <c r="DF27">
        <v>22081</v>
      </c>
      <c r="DG27">
        <v>21866</v>
      </c>
      <c r="DH27">
        <v>22109</v>
      </c>
      <c r="DI27">
        <v>21375</v>
      </c>
      <c r="DJ27">
        <v>21515</v>
      </c>
      <c r="DK27">
        <v>21363</v>
      </c>
      <c r="DL27">
        <v>21377</v>
      </c>
      <c r="DM27">
        <v>21697</v>
      </c>
      <c r="DN27">
        <v>22081</v>
      </c>
      <c r="DO27">
        <v>22944</v>
      </c>
      <c r="DP27">
        <v>23159</v>
      </c>
      <c r="DQ27">
        <v>23804</v>
      </c>
      <c r="DR27">
        <v>24836</v>
      </c>
      <c r="DS27">
        <v>25146</v>
      </c>
      <c r="DT27">
        <v>26140</v>
      </c>
      <c r="DU27">
        <v>26890</v>
      </c>
      <c r="DV27">
        <v>27839</v>
      </c>
      <c r="DW27">
        <v>28402</v>
      </c>
      <c r="DX27">
        <v>28962</v>
      </c>
      <c r="DY27">
        <v>29428</v>
      </c>
      <c r="DZ27">
        <v>30026</v>
      </c>
      <c r="EA27">
        <v>33438</v>
      </c>
      <c r="EB27">
        <v>52623</v>
      </c>
      <c r="EC27">
        <v>25679</v>
      </c>
      <c r="ED27">
        <v>25513</v>
      </c>
      <c r="EE27">
        <v>25240</v>
      </c>
      <c r="EF27">
        <v>24890</v>
      </c>
      <c r="EG27">
        <v>24343</v>
      </c>
      <c r="EH27">
        <v>23935</v>
      </c>
      <c r="EI27">
        <v>23594</v>
      </c>
      <c r="EJ27">
        <v>23275</v>
      </c>
      <c r="EK27">
        <v>23124</v>
      </c>
      <c r="EL27">
        <v>22943</v>
      </c>
      <c r="EM27">
        <v>22913</v>
      </c>
      <c r="EN27">
        <v>22849</v>
      </c>
      <c r="EO27">
        <v>23161</v>
      </c>
      <c r="EP27">
        <v>23621</v>
      </c>
      <c r="EQ27">
        <v>24226</v>
      </c>
      <c r="ER27">
        <v>24814</v>
      </c>
      <c r="ES27">
        <v>25118</v>
      </c>
      <c r="ET27">
        <v>25555</v>
      </c>
      <c r="EU27">
        <v>25897</v>
      </c>
      <c r="EV27">
        <v>26280</v>
      </c>
      <c r="EW27">
        <v>26818</v>
      </c>
      <c r="EX27">
        <v>27176</v>
      </c>
      <c r="EY27">
        <v>27927</v>
      </c>
      <c r="EZ27">
        <v>29070</v>
      </c>
      <c r="FA27">
        <v>30207</v>
      </c>
      <c r="FB27">
        <v>31054</v>
      </c>
      <c r="FC27">
        <v>31596</v>
      </c>
      <c r="FD27">
        <v>31893</v>
      </c>
      <c r="FE27">
        <v>31869</v>
      </c>
      <c r="FF27">
        <v>31864</v>
      </c>
      <c r="FG27">
        <v>31694</v>
      </c>
      <c r="FH27">
        <v>31265</v>
      </c>
      <c r="FI27">
        <v>30638</v>
      </c>
      <c r="FJ27">
        <v>29607</v>
      </c>
      <c r="FK27">
        <v>28427</v>
      </c>
      <c r="FL27">
        <v>27279</v>
      </c>
      <c r="FM27">
        <v>26432</v>
      </c>
      <c r="FN27">
        <v>25408</v>
      </c>
      <c r="FO27">
        <v>24157</v>
      </c>
      <c r="FP27">
        <v>22843</v>
      </c>
      <c r="FQ27">
        <v>21587</v>
      </c>
      <c r="FR27">
        <v>20400</v>
      </c>
      <c r="FS27">
        <v>19100</v>
      </c>
      <c r="FT27">
        <v>17333</v>
      </c>
      <c r="FU27">
        <v>15386</v>
      </c>
      <c r="FV27">
        <v>13701</v>
      </c>
      <c r="FW27">
        <v>12425</v>
      </c>
      <c r="FX27">
        <v>11957</v>
      </c>
      <c r="FY27">
        <v>11370</v>
      </c>
      <c r="FZ27">
        <v>10929</v>
      </c>
      <c r="GA27">
        <v>10442</v>
      </c>
      <c r="GB27">
        <v>10039</v>
      </c>
      <c r="GC27">
        <v>9403</v>
      </c>
      <c r="GD27">
        <v>8777</v>
      </c>
      <c r="GE27">
        <v>8218</v>
      </c>
      <c r="GF27">
        <v>7516</v>
      </c>
      <c r="GG27">
        <v>7043</v>
      </c>
      <c r="GH27">
        <v>6362</v>
      </c>
      <c r="GI27">
        <v>5790</v>
      </c>
      <c r="GJ27">
        <v>5224</v>
      </c>
      <c r="GK27">
        <v>4466</v>
      </c>
      <c r="GL27">
        <v>3684</v>
      </c>
      <c r="GM27">
        <v>3200</v>
      </c>
      <c r="GN27">
        <v>2662</v>
      </c>
      <c r="GO27">
        <v>2180</v>
      </c>
      <c r="GP27">
        <v>1734</v>
      </c>
      <c r="GQ27">
        <v>1506</v>
      </c>
      <c r="GR27">
        <v>1326</v>
      </c>
      <c r="GS27">
        <v>1069</v>
      </c>
      <c r="GT27">
        <v>923</v>
      </c>
      <c r="GU27">
        <v>814</v>
      </c>
      <c r="GV27">
        <v>687</v>
      </c>
      <c r="GW27">
        <v>581</v>
      </c>
      <c r="GX27">
        <v>482</v>
      </c>
      <c r="GY27">
        <v>39.533403641444899</v>
      </c>
      <c r="GZ27">
        <v>1972</v>
      </c>
      <c r="HA27">
        <v>10320</v>
      </c>
      <c r="HB27">
        <v>21173</v>
      </c>
      <c r="HC27">
        <v>23505</v>
      </c>
      <c r="HD27">
        <v>14811</v>
      </c>
      <c r="HE27">
        <v>6176</v>
      </c>
      <c r="HF27">
        <v>2147</v>
      </c>
      <c r="HG27">
        <v>0</v>
      </c>
      <c r="HH27">
        <v>0</v>
      </c>
      <c r="HI27">
        <v>501</v>
      </c>
      <c r="HJ27">
        <v>1137</v>
      </c>
      <c r="HK27">
        <v>636</v>
      </c>
      <c r="HL27">
        <v>120</v>
      </c>
      <c r="HM27">
        <v>123</v>
      </c>
      <c r="HN27">
        <v>45621</v>
      </c>
      <c r="HO27">
        <v>169080</v>
      </c>
      <c r="HP27">
        <v>227395</v>
      </c>
      <c r="HQ27">
        <v>251283</v>
      </c>
      <c r="HR27">
        <v>168575</v>
      </c>
      <c r="HS27">
        <v>68194</v>
      </c>
      <c r="HT27">
        <v>17558</v>
      </c>
      <c r="HU27">
        <v>106286</v>
      </c>
      <c r="HV27">
        <v>196374</v>
      </c>
      <c r="HW27">
        <v>226097</v>
      </c>
      <c r="HX27">
        <v>278997</v>
      </c>
      <c r="HY27">
        <v>211486</v>
      </c>
      <c r="HZ27">
        <v>102677</v>
      </c>
      <c r="IA27">
        <v>61491</v>
      </c>
      <c r="IB27">
        <v>269472</v>
      </c>
      <c r="IC27">
        <v>86429</v>
      </c>
      <c r="ID27">
        <v>37287</v>
      </c>
      <c r="IE27">
        <v>37362</v>
      </c>
      <c r="IF27">
        <v>20844</v>
      </c>
      <c r="IG27">
        <v>3531</v>
      </c>
      <c r="IH27">
        <v>3282</v>
      </c>
      <c r="II27">
        <v>197915</v>
      </c>
      <c r="IJ27">
        <v>37384</v>
      </c>
      <c r="IK27">
        <v>36241</v>
      </c>
      <c r="IL27">
        <v>31478</v>
      </c>
      <c r="IM27">
        <v>19300</v>
      </c>
      <c r="IN27">
        <v>7643</v>
      </c>
      <c r="IO27">
        <v>4182</v>
      </c>
      <c r="IP27">
        <v>317</v>
      </c>
      <c r="IQ27">
        <v>1346</v>
      </c>
      <c r="IR27">
        <v>1411</v>
      </c>
      <c r="IS27">
        <v>3692</v>
      </c>
      <c r="IT27">
        <v>9526</v>
      </c>
      <c r="IU27">
        <v>15323</v>
      </c>
      <c r="IV27">
        <v>18945</v>
      </c>
      <c r="IW27">
        <v>0</v>
      </c>
      <c r="IX27">
        <v>0</v>
      </c>
      <c r="IY27">
        <v>42</v>
      </c>
      <c r="IZ27">
        <v>75</v>
      </c>
      <c r="JA27">
        <v>1544</v>
      </c>
      <c r="JB27">
        <v>3989</v>
      </c>
      <c r="JC27">
        <v>2083</v>
      </c>
    </row>
    <row r="28" spans="1:263" x14ac:dyDescent="0.3">
      <c r="A28" s="1">
        <v>2016</v>
      </c>
      <c r="B28" s="1">
        <v>3951195</v>
      </c>
      <c r="C28" s="1">
        <v>1718942</v>
      </c>
      <c r="D28" s="1">
        <v>1964930</v>
      </c>
      <c r="E28" s="1">
        <v>1986265</v>
      </c>
      <c r="F28" s="1">
        <v>0</v>
      </c>
      <c r="G28" s="1">
        <v>21324</v>
      </c>
      <c r="H28" s="1">
        <v>20621</v>
      </c>
      <c r="I28" s="1">
        <v>20810</v>
      </c>
      <c r="J28" s="1">
        <v>20556</v>
      </c>
      <c r="K28" s="1">
        <v>20302</v>
      </c>
      <c r="L28" s="1">
        <v>20112</v>
      </c>
      <c r="M28" s="1">
        <v>20077</v>
      </c>
      <c r="N28" s="1">
        <v>19773</v>
      </c>
      <c r="O28" s="1">
        <v>19974</v>
      </c>
      <c r="P28" s="1">
        <v>20224</v>
      </c>
      <c r="Q28" s="1">
        <v>20359</v>
      </c>
      <c r="R28" s="1">
        <v>21022</v>
      </c>
      <c r="S28" s="1">
        <v>21492</v>
      </c>
      <c r="T28" s="1">
        <v>21944</v>
      </c>
      <c r="U28" s="1">
        <v>22842</v>
      </c>
      <c r="V28" s="1">
        <v>23339</v>
      </c>
      <c r="W28" s="1">
        <v>23983</v>
      </c>
      <c r="X28" s="1">
        <v>25253</v>
      </c>
      <c r="Y28" s="1">
        <v>25665</v>
      </c>
      <c r="Z28" s="1">
        <v>26537</v>
      </c>
      <c r="AA28" s="1">
        <v>27167</v>
      </c>
      <c r="AB28" s="1">
        <v>28300</v>
      </c>
      <c r="AC28" s="1">
        <v>28466</v>
      </c>
      <c r="AD28" s="1">
        <v>29790</v>
      </c>
      <c r="AE28" s="1">
        <v>35091</v>
      </c>
      <c r="AF28" s="1">
        <v>54421</v>
      </c>
      <c r="AG28" s="1">
        <v>29426</v>
      </c>
      <c r="AH28" s="1">
        <v>29308</v>
      </c>
      <c r="AI28" s="1">
        <v>28699</v>
      </c>
      <c r="AJ28" s="1">
        <v>28567</v>
      </c>
      <c r="AK28" s="1">
        <v>27897</v>
      </c>
      <c r="AL28" s="1">
        <v>27612</v>
      </c>
      <c r="AM28" s="1">
        <v>27278</v>
      </c>
      <c r="AN28" s="1">
        <v>26991</v>
      </c>
      <c r="AO28" s="1">
        <v>26636</v>
      </c>
      <c r="AP28" s="1">
        <v>26227</v>
      </c>
      <c r="AQ28" s="1">
        <v>26235</v>
      </c>
      <c r="AR28" s="1">
        <v>26322</v>
      </c>
      <c r="AS28" s="1">
        <v>26462</v>
      </c>
      <c r="AT28" s="1">
        <v>26859</v>
      </c>
      <c r="AU28" s="1">
        <v>27568</v>
      </c>
      <c r="AV28" s="1">
        <v>27677</v>
      </c>
      <c r="AW28" s="1">
        <v>28003</v>
      </c>
      <c r="AX28" s="1">
        <v>28251</v>
      </c>
      <c r="AY28" s="1">
        <v>28490</v>
      </c>
      <c r="AZ28" s="1">
        <v>28626</v>
      </c>
      <c r="BA28" s="1">
        <v>28814</v>
      </c>
      <c r="BB28" s="1">
        <v>29218</v>
      </c>
      <c r="BC28" s="1">
        <v>29873</v>
      </c>
      <c r="BD28" s="1">
        <v>30924</v>
      </c>
      <c r="BE28" s="1">
        <v>31657</v>
      </c>
      <c r="BF28" s="1">
        <v>32739</v>
      </c>
      <c r="BG28" s="1">
        <v>33047</v>
      </c>
      <c r="BH28" s="1">
        <v>33002</v>
      </c>
      <c r="BI28" s="1">
        <v>32644</v>
      </c>
      <c r="BJ28" s="1">
        <v>32281</v>
      </c>
      <c r="BK28" s="1">
        <v>31480</v>
      </c>
      <c r="BL28" s="1">
        <v>30651</v>
      </c>
      <c r="BM28" s="1">
        <v>29341</v>
      </c>
      <c r="BN28" s="1">
        <v>27921</v>
      </c>
      <c r="BO28" s="1">
        <v>26556</v>
      </c>
      <c r="BP28" s="1">
        <v>25423</v>
      </c>
      <c r="BQ28" s="1">
        <v>24374</v>
      </c>
      <c r="BR28" s="1">
        <v>23394</v>
      </c>
      <c r="BS28" s="1">
        <v>22126</v>
      </c>
      <c r="BT28" s="1">
        <v>20723</v>
      </c>
      <c r="BU28" s="1">
        <v>19262</v>
      </c>
      <c r="BV28" s="1">
        <v>17876</v>
      </c>
      <c r="BW28" s="1">
        <v>16558</v>
      </c>
      <c r="BX28" s="1">
        <v>14827</v>
      </c>
      <c r="BY28" s="1">
        <v>13100</v>
      </c>
      <c r="BZ28" s="1">
        <v>11446</v>
      </c>
      <c r="CA28" s="1">
        <v>10325</v>
      </c>
      <c r="CB28" s="1">
        <v>9599</v>
      </c>
      <c r="CC28" s="1">
        <v>9071</v>
      </c>
      <c r="CD28" s="1">
        <v>8320</v>
      </c>
      <c r="CE28" s="1">
        <v>7898</v>
      </c>
      <c r="CF28" s="1">
        <v>7243</v>
      </c>
      <c r="CG28" s="1">
        <v>6788</v>
      </c>
      <c r="CH28" s="1">
        <v>6193</v>
      </c>
      <c r="CI28" s="1">
        <v>5455</v>
      </c>
      <c r="CJ28" s="1">
        <v>4827</v>
      </c>
      <c r="CK28" s="1">
        <v>4309</v>
      </c>
      <c r="CL28" s="1">
        <v>3889</v>
      </c>
      <c r="CM28" s="1">
        <v>3473</v>
      </c>
      <c r="CN28" s="1">
        <v>2810</v>
      </c>
      <c r="CO28" s="1">
        <v>2399</v>
      </c>
      <c r="CP28" s="1">
        <v>1972</v>
      </c>
      <c r="CQ28" s="1">
        <v>1622</v>
      </c>
      <c r="CR28" s="1">
        <v>1269</v>
      </c>
      <c r="CS28" s="1">
        <v>1010</v>
      </c>
      <c r="CT28" s="1">
        <v>825</v>
      </c>
      <c r="CU28" s="1">
        <v>664</v>
      </c>
      <c r="CV28" s="1">
        <v>556</v>
      </c>
      <c r="CW28" s="1">
        <v>451</v>
      </c>
      <c r="CX28" s="1">
        <v>423</v>
      </c>
      <c r="CY28" s="1">
        <v>300</v>
      </c>
      <c r="CZ28" s="1">
        <v>260</v>
      </c>
      <c r="DA28" s="1">
        <v>213</v>
      </c>
      <c r="DB28">
        <v>38.994089100860002</v>
      </c>
      <c r="DC28">
        <v>0</v>
      </c>
      <c r="DD28">
        <v>23231</v>
      </c>
      <c r="DE28">
        <v>22548</v>
      </c>
      <c r="DF28">
        <v>22426</v>
      </c>
      <c r="DG28">
        <v>22089</v>
      </c>
      <c r="DH28">
        <v>21878</v>
      </c>
      <c r="DI28">
        <v>22129</v>
      </c>
      <c r="DJ28">
        <v>21397</v>
      </c>
      <c r="DK28">
        <v>21549</v>
      </c>
      <c r="DL28">
        <v>21391</v>
      </c>
      <c r="DM28">
        <v>21423</v>
      </c>
      <c r="DN28">
        <v>21738</v>
      </c>
      <c r="DO28">
        <v>22125</v>
      </c>
      <c r="DP28">
        <v>22996</v>
      </c>
      <c r="DQ28">
        <v>23216</v>
      </c>
      <c r="DR28">
        <v>23866</v>
      </c>
      <c r="DS28">
        <v>24897</v>
      </c>
      <c r="DT28">
        <v>25209</v>
      </c>
      <c r="DU28">
        <v>26206</v>
      </c>
      <c r="DV28">
        <v>26973</v>
      </c>
      <c r="DW28">
        <v>27908</v>
      </c>
      <c r="DX28">
        <v>28484</v>
      </c>
      <c r="DY28">
        <v>29047</v>
      </c>
      <c r="DZ28">
        <v>29537</v>
      </c>
      <c r="EA28">
        <v>30131</v>
      </c>
      <c r="EB28">
        <v>33627</v>
      </c>
      <c r="EC28">
        <v>52714</v>
      </c>
      <c r="ED28">
        <v>25769</v>
      </c>
      <c r="EE28">
        <v>25606</v>
      </c>
      <c r="EF28">
        <v>25341</v>
      </c>
      <c r="EG28">
        <v>24972</v>
      </c>
      <c r="EH28">
        <v>24433</v>
      </c>
      <c r="EI28">
        <v>24030</v>
      </c>
      <c r="EJ28">
        <v>23677</v>
      </c>
      <c r="EK28">
        <v>23353</v>
      </c>
      <c r="EL28">
        <v>23210</v>
      </c>
      <c r="EM28">
        <v>22974</v>
      </c>
      <c r="EN28">
        <v>22943</v>
      </c>
      <c r="EO28">
        <v>22879</v>
      </c>
      <c r="EP28">
        <v>23187</v>
      </c>
      <c r="EQ28">
        <v>23660</v>
      </c>
      <c r="ER28">
        <v>24252</v>
      </c>
      <c r="ES28">
        <v>24836</v>
      </c>
      <c r="ET28">
        <v>25146</v>
      </c>
      <c r="EU28">
        <v>25576</v>
      </c>
      <c r="EV28">
        <v>25938</v>
      </c>
      <c r="EW28">
        <v>26303</v>
      </c>
      <c r="EX28">
        <v>26845</v>
      </c>
      <c r="EY28">
        <v>27197</v>
      </c>
      <c r="EZ28">
        <v>27944</v>
      </c>
      <c r="FA28">
        <v>29097</v>
      </c>
      <c r="FB28">
        <v>30214</v>
      </c>
      <c r="FC28">
        <v>31058</v>
      </c>
      <c r="FD28">
        <v>31599</v>
      </c>
      <c r="FE28">
        <v>31897</v>
      </c>
      <c r="FF28">
        <v>31865</v>
      </c>
      <c r="FG28">
        <v>31833</v>
      </c>
      <c r="FH28">
        <v>31685</v>
      </c>
      <c r="FI28">
        <v>31240</v>
      </c>
      <c r="FJ28">
        <v>30598</v>
      </c>
      <c r="FK28">
        <v>29585</v>
      </c>
      <c r="FL28">
        <v>28350</v>
      </c>
      <c r="FM28">
        <v>27206</v>
      </c>
      <c r="FN28">
        <v>26350</v>
      </c>
      <c r="FO28">
        <v>25313</v>
      </c>
      <c r="FP28">
        <v>24101</v>
      </c>
      <c r="FQ28">
        <v>22667</v>
      </c>
      <c r="FR28">
        <v>21447</v>
      </c>
      <c r="FS28">
        <v>20257</v>
      </c>
      <c r="FT28">
        <v>18959</v>
      </c>
      <c r="FU28">
        <v>17212</v>
      </c>
      <c r="FV28">
        <v>15184</v>
      </c>
      <c r="FW28">
        <v>13512</v>
      </c>
      <c r="FX28">
        <v>12272</v>
      </c>
      <c r="FY28">
        <v>11804</v>
      </c>
      <c r="FZ28">
        <v>11223</v>
      </c>
      <c r="GA28">
        <v>10629</v>
      </c>
      <c r="GB28">
        <v>10155</v>
      </c>
      <c r="GC28">
        <v>9789</v>
      </c>
      <c r="GD28">
        <v>9147</v>
      </c>
      <c r="GE28">
        <v>8560</v>
      </c>
      <c r="GF28">
        <v>7808</v>
      </c>
      <c r="GG28">
        <v>7187</v>
      </c>
      <c r="GH28">
        <v>6704</v>
      </c>
      <c r="GI28">
        <v>6065</v>
      </c>
      <c r="GJ28">
        <v>5492</v>
      </c>
      <c r="GK28">
        <v>4676</v>
      </c>
      <c r="GL28">
        <v>3961</v>
      </c>
      <c r="GM28">
        <v>3292</v>
      </c>
      <c r="GN28">
        <v>2874</v>
      </c>
      <c r="GO28">
        <v>2368</v>
      </c>
      <c r="GP28">
        <v>1921</v>
      </c>
      <c r="GQ28">
        <v>1549</v>
      </c>
      <c r="GR28">
        <v>1336</v>
      </c>
      <c r="GS28">
        <v>1180</v>
      </c>
      <c r="GT28">
        <v>936</v>
      </c>
      <c r="GU28">
        <v>825</v>
      </c>
      <c r="GV28">
        <v>739</v>
      </c>
      <c r="GW28">
        <v>616</v>
      </c>
      <c r="GX28">
        <v>527</v>
      </c>
      <c r="GY28">
        <v>39.866255475961196</v>
      </c>
      <c r="GZ28">
        <v>1986</v>
      </c>
      <c r="HA28">
        <v>10401</v>
      </c>
      <c r="HB28">
        <v>21136</v>
      </c>
      <c r="HC28">
        <v>24305</v>
      </c>
      <c r="HD28">
        <v>16122</v>
      </c>
      <c r="HE28">
        <v>6830</v>
      </c>
      <c r="HF28">
        <v>2362</v>
      </c>
      <c r="HG28">
        <v>0</v>
      </c>
      <c r="HH28">
        <v>0</v>
      </c>
      <c r="HI28">
        <v>0</v>
      </c>
      <c r="HJ28">
        <v>0</v>
      </c>
      <c r="HK28">
        <v>4</v>
      </c>
      <c r="HL28">
        <v>47</v>
      </c>
      <c r="HM28">
        <v>66</v>
      </c>
      <c r="HN28">
        <v>46728</v>
      </c>
      <c r="HO28">
        <v>168538</v>
      </c>
      <c r="HP28">
        <v>223462</v>
      </c>
      <c r="HQ28">
        <v>252780</v>
      </c>
      <c r="HR28">
        <v>176608</v>
      </c>
      <c r="HS28">
        <v>72025</v>
      </c>
      <c r="HT28">
        <v>18556</v>
      </c>
      <c r="HU28">
        <v>87643</v>
      </c>
      <c r="HV28">
        <v>201943</v>
      </c>
      <c r="HW28">
        <v>224825</v>
      </c>
      <c r="HX28">
        <v>279776</v>
      </c>
      <c r="HY28">
        <v>223772</v>
      </c>
      <c r="HZ28">
        <v>110225</v>
      </c>
      <c r="IA28">
        <v>65288</v>
      </c>
      <c r="IB28">
        <v>267817</v>
      </c>
      <c r="IC28">
        <v>88455</v>
      </c>
      <c r="ID28">
        <v>36990</v>
      </c>
      <c r="IE28">
        <v>37030</v>
      </c>
      <c r="IF28">
        <v>21900</v>
      </c>
      <c r="IG28">
        <v>4295</v>
      </c>
      <c r="IH28">
        <v>3404</v>
      </c>
      <c r="II28">
        <v>220521</v>
      </c>
      <c r="IJ28">
        <v>33715</v>
      </c>
      <c r="IK28">
        <v>32872</v>
      </c>
      <c r="IL28">
        <v>31310</v>
      </c>
      <c r="IM28">
        <v>20101</v>
      </c>
      <c r="IN28">
        <v>8205</v>
      </c>
      <c r="IO28">
        <v>4538</v>
      </c>
      <c r="IP28">
        <v>674</v>
      </c>
      <c r="IQ28">
        <v>2833</v>
      </c>
      <c r="IR28">
        <v>1791</v>
      </c>
      <c r="IS28">
        <v>3651</v>
      </c>
      <c r="IT28">
        <v>9583</v>
      </c>
      <c r="IU28">
        <v>15467</v>
      </c>
      <c r="IV28">
        <v>19529</v>
      </c>
      <c r="IW28">
        <v>0</v>
      </c>
      <c r="IX28">
        <v>0</v>
      </c>
      <c r="IY28">
        <v>0</v>
      </c>
      <c r="IZ28">
        <v>0</v>
      </c>
      <c r="JA28">
        <v>358</v>
      </c>
      <c r="JB28">
        <v>2450</v>
      </c>
      <c r="JC28">
        <v>1319</v>
      </c>
    </row>
    <row r="29" spans="1:263" x14ac:dyDescent="0.3">
      <c r="A29" s="1">
        <v>2017</v>
      </c>
      <c r="B29" s="1">
        <v>3982239</v>
      </c>
      <c r="C29" s="1">
        <v>1722072</v>
      </c>
      <c r="D29" s="1">
        <v>1979370</v>
      </c>
      <c r="E29" s="1">
        <v>2002869</v>
      </c>
      <c r="F29" s="1">
        <v>0</v>
      </c>
      <c r="G29" s="1">
        <v>21778</v>
      </c>
      <c r="H29" s="1">
        <v>21324</v>
      </c>
      <c r="I29" s="1">
        <v>20624</v>
      </c>
      <c r="J29" s="1">
        <v>20823</v>
      </c>
      <c r="K29" s="1">
        <v>20574</v>
      </c>
      <c r="L29" s="1">
        <v>20326</v>
      </c>
      <c r="M29" s="1">
        <v>20147</v>
      </c>
      <c r="N29" s="1">
        <v>20130</v>
      </c>
      <c r="O29" s="1">
        <v>19817</v>
      </c>
      <c r="P29" s="1">
        <v>20037</v>
      </c>
      <c r="Q29" s="1">
        <v>20298</v>
      </c>
      <c r="R29" s="1">
        <v>20437</v>
      </c>
      <c r="S29" s="1">
        <v>21099</v>
      </c>
      <c r="T29" s="1">
        <v>21569</v>
      </c>
      <c r="U29" s="1">
        <v>22047</v>
      </c>
      <c r="V29" s="1">
        <v>22944</v>
      </c>
      <c r="W29" s="1">
        <v>23440</v>
      </c>
      <c r="X29" s="1">
        <v>24083</v>
      </c>
      <c r="Y29" s="1">
        <v>25377</v>
      </c>
      <c r="Z29" s="1">
        <v>25780</v>
      </c>
      <c r="AA29" s="1">
        <v>26662</v>
      </c>
      <c r="AB29" s="1">
        <v>27310</v>
      </c>
      <c r="AC29" s="1">
        <v>28430</v>
      </c>
      <c r="AD29" s="1">
        <v>28615</v>
      </c>
      <c r="AE29" s="1">
        <v>29942</v>
      </c>
      <c r="AF29" s="1">
        <v>35400</v>
      </c>
      <c r="AG29" s="1">
        <v>54569</v>
      </c>
      <c r="AH29" s="1">
        <v>29591</v>
      </c>
      <c r="AI29" s="1">
        <v>29426</v>
      </c>
      <c r="AJ29" s="1">
        <v>28854</v>
      </c>
      <c r="AK29" s="1">
        <v>28719</v>
      </c>
      <c r="AL29" s="1">
        <v>28043</v>
      </c>
      <c r="AM29" s="1">
        <v>27764</v>
      </c>
      <c r="AN29" s="1">
        <v>27434</v>
      </c>
      <c r="AO29" s="1">
        <v>27135</v>
      </c>
      <c r="AP29" s="1">
        <v>26729</v>
      </c>
      <c r="AQ29" s="1">
        <v>26297</v>
      </c>
      <c r="AR29" s="1">
        <v>26295</v>
      </c>
      <c r="AS29" s="1">
        <v>26412</v>
      </c>
      <c r="AT29" s="1">
        <v>26534</v>
      </c>
      <c r="AU29" s="1">
        <v>26916</v>
      </c>
      <c r="AV29" s="1">
        <v>27605</v>
      </c>
      <c r="AW29" s="1">
        <v>27732</v>
      </c>
      <c r="AX29" s="1">
        <v>28035</v>
      </c>
      <c r="AY29" s="1">
        <v>28288</v>
      </c>
      <c r="AZ29" s="1">
        <v>28490</v>
      </c>
      <c r="BA29" s="1">
        <v>28616</v>
      </c>
      <c r="BB29" s="1">
        <v>28807</v>
      </c>
      <c r="BC29" s="1">
        <v>29194</v>
      </c>
      <c r="BD29" s="1">
        <v>29867</v>
      </c>
      <c r="BE29" s="1">
        <v>30862</v>
      </c>
      <c r="BF29" s="1">
        <v>31574</v>
      </c>
      <c r="BG29" s="1">
        <v>32679</v>
      </c>
      <c r="BH29" s="1">
        <v>32990</v>
      </c>
      <c r="BI29" s="1">
        <v>32912</v>
      </c>
      <c r="BJ29" s="1">
        <v>32498</v>
      </c>
      <c r="BK29" s="1">
        <v>32131</v>
      </c>
      <c r="BL29" s="1">
        <v>31280</v>
      </c>
      <c r="BM29" s="1">
        <v>30496</v>
      </c>
      <c r="BN29" s="1">
        <v>29164</v>
      </c>
      <c r="BO29" s="1">
        <v>27681</v>
      </c>
      <c r="BP29" s="1">
        <v>26331</v>
      </c>
      <c r="BQ29" s="1">
        <v>25220</v>
      </c>
      <c r="BR29" s="1">
        <v>24157</v>
      </c>
      <c r="BS29" s="1">
        <v>23170</v>
      </c>
      <c r="BT29" s="1">
        <v>21759</v>
      </c>
      <c r="BU29" s="1">
        <v>20429</v>
      </c>
      <c r="BV29" s="1">
        <v>18976</v>
      </c>
      <c r="BW29" s="1">
        <v>17596</v>
      </c>
      <c r="BX29" s="1">
        <v>16282</v>
      </c>
      <c r="BY29" s="1">
        <v>14454</v>
      </c>
      <c r="BZ29" s="1">
        <v>12778</v>
      </c>
      <c r="CA29" s="1">
        <v>11157</v>
      </c>
      <c r="CB29" s="1">
        <v>10054</v>
      </c>
      <c r="CC29" s="1">
        <v>9362</v>
      </c>
      <c r="CD29" s="1">
        <v>8664</v>
      </c>
      <c r="CE29" s="1">
        <v>7923</v>
      </c>
      <c r="CF29" s="1">
        <v>7530</v>
      </c>
      <c r="CG29" s="1">
        <v>6935</v>
      </c>
      <c r="CH29" s="1">
        <v>6470</v>
      </c>
      <c r="CI29" s="1">
        <v>5737</v>
      </c>
      <c r="CJ29" s="1">
        <v>5090</v>
      </c>
      <c r="CK29" s="1">
        <v>4456</v>
      </c>
      <c r="CL29" s="1">
        <v>3968</v>
      </c>
      <c r="CM29" s="1">
        <v>3590</v>
      </c>
      <c r="CN29" s="1">
        <v>3023</v>
      </c>
      <c r="CO29" s="1">
        <v>2473</v>
      </c>
      <c r="CP29" s="1">
        <v>2083</v>
      </c>
      <c r="CQ29" s="1">
        <v>1701</v>
      </c>
      <c r="CR29" s="1">
        <v>1392</v>
      </c>
      <c r="CS29" s="1">
        <v>1113</v>
      </c>
      <c r="CT29" s="1">
        <v>867</v>
      </c>
      <c r="CU29" s="1">
        <v>709</v>
      </c>
      <c r="CV29" s="1">
        <v>575</v>
      </c>
      <c r="CW29" s="1">
        <v>479</v>
      </c>
      <c r="CX29" s="1">
        <v>389</v>
      </c>
      <c r="CY29" s="1">
        <v>367</v>
      </c>
      <c r="CZ29" s="1">
        <v>268</v>
      </c>
      <c r="DA29" s="1">
        <v>219</v>
      </c>
      <c r="DB29">
        <v>39.325806291820797</v>
      </c>
      <c r="DC29">
        <v>0</v>
      </c>
      <c r="DD29">
        <v>23574</v>
      </c>
      <c r="DE29">
        <v>23231</v>
      </c>
      <c r="DF29">
        <v>22548</v>
      </c>
      <c r="DG29">
        <v>22426</v>
      </c>
      <c r="DH29">
        <v>22101</v>
      </c>
      <c r="DI29">
        <v>21893</v>
      </c>
      <c r="DJ29">
        <v>22150</v>
      </c>
      <c r="DK29">
        <v>21423</v>
      </c>
      <c r="DL29">
        <v>21580</v>
      </c>
      <c r="DM29">
        <v>21418</v>
      </c>
      <c r="DN29">
        <v>21463</v>
      </c>
      <c r="DO29">
        <v>21783</v>
      </c>
      <c r="DP29">
        <v>22166</v>
      </c>
      <c r="DQ29">
        <v>23054</v>
      </c>
      <c r="DR29">
        <v>23262</v>
      </c>
      <c r="DS29">
        <v>23925</v>
      </c>
      <c r="DT29">
        <v>24958</v>
      </c>
      <c r="DU29">
        <v>25271</v>
      </c>
      <c r="DV29">
        <v>26264</v>
      </c>
      <c r="DW29">
        <v>27028</v>
      </c>
      <c r="DX29">
        <v>27990</v>
      </c>
      <c r="DY29">
        <v>28566</v>
      </c>
      <c r="DZ29">
        <v>29125</v>
      </c>
      <c r="EA29">
        <v>29625</v>
      </c>
      <c r="EB29">
        <v>30209</v>
      </c>
      <c r="EC29">
        <v>33793</v>
      </c>
      <c r="ED29">
        <v>52803</v>
      </c>
      <c r="EE29">
        <v>25846</v>
      </c>
      <c r="EF29">
        <v>25703</v>
      </c>
      <c r="EG29">
        <v>25426</v>
      </c>
      <c r="EH29">
        <v>25036</v>
      </c>
      <c r="EI29">
        <v>24514</v>
      </c>
      <c r="EJ29">
        <v>24106</v>
      </c>
      <c r="EK29">
        <v>23757</v>
      </c>
      <c r="EL29">
        <v>23433</v>
      </c>
      <c r="EM29">
        <v>23239</v>
      </c>
      <c r="EN29">
        <v>23012</v>
      </c>
      <c r="EO29">
        <v>22961</v>
      </c>
      <c r="EP29">
        <v>22895</v>
      </c>
      <c r="EQ29">
        <v>23218</v>
      </c>
      <c r="ER29">
        <v>23686</v>
      </c>
      <c r="ES29">
        <v>24274</v>
      </c>
      <c r="ET29">
        <v>24863</v>
      </c>
      <c r="EU29">
        <v>25164</v>
      </c>
      <c r="EV29">
        <v>25615</v>
      </c>
      <c r="EW29">
        <v>25952</v>
      </c>
      <c r="EX29">
        <v>26331</v>
      </c>
      <c r="EY29">
        <v>26865</v>
      </c>
      <c r="EZ29">
        <v>27211</v>
      </c>
      <c r="FA29">
        <v>27975</v>
      </c>
      <c r="FB29">
        <v>29083</v>
      </c>
      <c r="FC29">
        <v>30216</v>
      </c>
      <c r="FD29">
        <v>31060</v>
      </c>
      <c r="FE29">
        <v>31596</v>
      </c>
      <c r="FF29">
        <v>31892</v>
      </c>
      <c r="FG29">
        <v>31844</v>
      </c>
      <c r="FH29">
        <v>31796</v>
      </c>
      <c r="FI29">
        <v>31641</v>
      </c>
      <c r="FJ29">
        <v>31216</v>
      </c>
      <c r="FK29">
        <v>30554</v>
      </c>
      <c r="FL29">
        <v>29480</v>
      </c>
      <c r="FM29">
        <v>28260</v>
      </c>
      <c r="FN29">
        <v>27093</v>
      </c>
      <c r="FO29">
        <v>26240</v>
      </c>
      <c r="FP29">
        <v>25204</v>
      </c>
      <c r="FQ29">
        <v>23958</v>
      </c>
      <c r="FR29">
        <v>22528</v>
      </c>
      <c r="FS29">
        <v>21313</v>
      </c>
      <c r="FT29">
        <v>20117</v>
      </c>
      <c r="FU29">
        <v>18845</v>
      </c>
      <c r="FV29">
        <v>16947</v>
      </c>
      <c r="FW29">
        <v>14975</v>
      </c>
      <c r="FX29">
        <v>13360</v>
      </c>
      <c r="FY29">
        <v>12127</v>
      </c>
      <c r="FZ29">
        <v>11651</v>
      </c>
      <c r="GA29">
        <v>10907</v>
      </c>
      <c r="GB29">
        <v>10344</v>
      </c>
      <c r="GC29">
        <v>9834</v>
      </c>
      <c r="GD29">
        <v>9567</v>
      </c>
      <c r="GE29">
        <v>8879</v>
      </c>
      <c r="GF29">
        <v>8156</v>
      </c>
      <c r="GG29">
        <v>7439</v>
      </c>
      <c r="GH29">
        <v>6825</v>
      </c>
      <c r="GI29">
        <v>6401</v>
      </c>
      <c r="GJ29">
        <v>5770</v>
      </c>
      <c r="GK29">
        <v>4887</v>
      </c>
      <c r="GL29">
        <v>4154</v>
      </c>
      <c r="GM29">
        <v>3528</v>
      </c>
      <c r="GN29">
        <v>2928</v>
      </c>
      <c r="GO29">
        <v>2525</v>
      </c>
      <c r="GP29">
        <v>2109</v>
      </c>
      <c r="GQ29">
        <v>1704</v>
      </c>
      <c r="GR29">
        <v>1387</v>
      </c>
      <c r="GS29">
        <v>1175</v>
      </c>
      <c r="GT29">
        <v>1045</v>
      </c>
      <c r="GU29">
        <v>830</v>
      </c>
      <c r="GV29">
        <v>743</v>
      </c>
      <c r="GW29">
        <v>660</v>
      </c>
      <c r="GX29">
        <v>559</v>
      </c>
      <c r="GY29">
        <v>40.1836312156167</v>
      </c>
      <c r="GZ29">
        <v>2041</v>
      </c>
      <c r="HA29">
        <v>10445</v>
      </c>
      <c r="HB29">
        <v>21053</v>
      </c>
      <c r="HC29">
        <v>24970</v>
      </c>
      <c r="HD29">
        <v>17463</v>
      </c>
      <c r="HE29">
        <v>7564</v>
      </c>
      <c r="HF29">
        <v>2650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12</v>
      </c>
      <c r="HM29">
        <v>20</v>
      </c>
      <c r="HN29">
        <v>47387</v>
      </c>
      <c r="HO29">
        <v>168451</v>
      </c>
      <c r="HP29">
        <v>220098</v>
      </c>
      <c r="HQ29">
        <v>252199</v>
      </c>
      <c r="HR29">
        <v>184882</v>
      </c>
      <c r="HS29">
        <v>76329</v>
      </c>
      <c r="HT29">
        <v>19623</v>
      </c>
      <c r="HU29">
        <v>67122</v>
      </c>
      <c r="HV29">
        <v>207452</v>
      </c>
      <c r="HW29">
        <v>223873</v>
      </c>
      <c r="HX29">
        <v>280079</v>
      </c>
      <c r="HY29">
        <v>235793</v>
      </c>
      <c r="HZ29">
        <v>118722</v>
      </c>
      <c r="IA29">
        <v>69079</v>
      </c>
      <c r="IB29">
        <v>265367</v>
      </c>
      <c r="IC29">
        <v>90381</v>
      </c>
      <c r="ID29">
        <v>36774</v>
      </c>
      <c r="IE29">
        <v>36506</v>
      </c>
      <c r="IF29">
        <v>22361</v>
      </c>
      <c r="IG29">
        <v>5596</v>
      </c>
      <c r="IH29">
        <v>3577</v>
      </c>
      <c r="II29">
        <v>243566</v>
      </c>
      <c r="IJ29">
        <v>30927</v>
      </c>
      <c r="IK29">
        <v>29306</v>
      </c>
      <c r="IL29">
        <v>28240</v>
      </c>
      <c r="IM29">
        <v>18954</v>
      </c>
      <c r="IN29">
        <v>8888</v>
      </c>
      <c r="IO29">
        <v>4899</v>
      </c>
      <c r="IP29">
        <v>930</v>
      </c>
      <c r="IQ29">
        <v>4405</v>
      </c>
      <c r="IR29">
        <v>2292</v>
      </c>
      <c r="IS29">
        <v>3614</v>
      </c>
      <c r="IT29">
        <v>9777</v>
      </c>
      <c r="IU29">
        <v>15650</v>
      </c>
      <c r="IV29">
        <v>20111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935</v>
      </c>
      <c r="JC29">
        <v>512</v>
      </c>
    </row>
    <row r="30" spans="1:263" x14ac:dyDescent="0.3">
      <c r="A30" s="1">
        <v>2018</v>
      </c>
      <c r="B30" s="1">
        <v>4011088</v>
      </c>
      <c r="C30" s="1">
        <v>1707320</v>
      </c>
      <c r="D30" s="1">
        <v>1992306</v>
      </c>
      <c r="E30" s="1">
        <v>2018782</v>
      </c>
      <c r="F30" s="1">
        <v>0</v>
      </c>
      <c r="G30" s="1">
        <v>21438</v>
      </c>
      <c r="H30" s="1">
        <v>21777</v>
      </c>
      <c r="I30" s="1">
        <v>21325</v>
      </c>
      <c r="J30" s="1">
        <v>20625</v>
      </c>
      <c r="K30" s="1">
        <v>20836</v>
      </c>
      <c r="L30" s="1">
        <v>20601</v>
      </c>
      <c r="M30" s="1">
        <v>20351</v>
      </c>
      <c r="N30" s="1">
        <v>20186</v>
      </c>
      <c r="O30" s="1">
        <v>20172</v>
      </c>
      <c r="P30" s="1">
        <v>19877</v>
      </c>
      <c r="Q30" s="1">
        <v>20094</v>
      </c>
      <c r="R30" s="1">
        <v>20361</v>
      </c>
      <c r="S30" s="1">
        <v>20513</v>
      </c>
      <c r="T30" s="1">
        <v>21170</v>
      </c>
      <c r="U30" s="1">
        <v>21648</v>
      </c>
      <c r="V30" s="1">
        <v>22137</v>
      </c>
      <c r="W30" s="1">
        <v>23043</v>
      </c>
      <c r="X30" s="1">
        <v>23523</v>
      </c>
      <c r="Y30" s="1">
        <v>24171</v>
      </c>
      <c r="Z30" s="1">
        <v>25472</v>
      </c>
      <c r="AA30" s="1">
        <v>25875</v>
      </c>
      <c r="AB30" s="1">
        <v>26760</v>
      </c>
      <c r="AC30" s="1">
        <v>27411</v>
      </c>
      <c r="AD30" s="1">
        <v>28524</v>
      </c>
      <c r="AE30" s="1">
        <v>28754</v>
      </c>
      <c r="AF30" s="1">
        <v>30074</v>
      </c>
      <c r="AG30" s="1">
        <v>35669</v>
      </c>
      <c r="AH30" s="1">
        <v>54691</v>
      </c>
      <c r="AI30" s="1">
        <v>29741</v>
      </c>
      <c r="AJ30" s="1">
        <v>29565</v>
      </c>
      <c r="AK30" s="1">
        <v>28997</v>
      </c>
      <c r="AL30" s="1">
        <v>28848</v>
      </c>
      <c r="AM30" s="1">
        <v>28182</v>
      </c>
      <c r="AN30" s="1">
        <v>27869</v>
      </c>
      <c r="AO30" s="1">
        <v>27558</v>
      </c>
      <c r="AP30" s="1">
        <v>27213</v>
      </c>
      <c r="AQ30" s="1">
        <v>26815</v>
      </c>
      <c r="AR30" s="1">
        <v>26368</v>
      </c>
      <c r="AS30" s="1">
        <v>26361</v>
      </c>
      <c r="AT30" s="1">
        <v>26477</v>
      </c>
      <c r="AU30" s="1">
        <v>26589</v>
      </c>
      <c r="AV30" s="1">
        <v>26944</v>
      </c>
      <c r="AW30" s="1">
        <v>27648</v>
      </c>
      <c r="AX30" s="1">
        <v>27765</v>
      </c>
      <c r="AY30" s="1">
        <v>28041</v>
      </c>
      <c r="AZ30" s="1">
        <v>28275</v>
      </c>
      <c r="BA30" s="1">
        <v>28470</v>
      </c>
      <c r="BB30" s="1">
        <v>28611</v>
      </c>
      <c r="BC30" s="1">
        <v>28787</v>
      </c>
      <c r="BD30" s="1">
        <v>29195</v>
      </c>
      <c r="BE30" s="1">
        <v>29813</v>
      </c>
      <c r="BF30" s="1">
        <v>30828</v>
      </c>
      <c r="BG30" s="1">
        <v>31504</v>
      </c>
      <c r="BH30" s="1">
        <v>32612</v>
      </c>
      <c r="BI30" s="1">
        <v>32913</v>
      </c>
      <c r="BJ30" s="1">
        <v>32756</v>
      </c>
      <c r="BK30" s="1">
        <v>32365</v>
      </c>
      <c r="BL30" s="1">
        <v>31973</v>
      </c>
      <c r="BM30" s="1">
        <v>31112</v>
      </c>
      <c r="BN30" s="1">
        <v>30326</v>
      </c>
      <c r="BO30" s="1">
        <v>28908</v>
      </c>
      <c r="BP30" s="1">
        <v>27425</v>
      </c>
      <c r="BQ30" s="1">
        <v>26116</v>
      </c>
      <c r="BR30" s="1">
        <v>24984</v>
      </c>
      <c r="BS30" s="1">
        <v>23933</v>
      </c>
      <c r="BT30" s="1">
        <v>22808</v>
      </c>
      <c r="BU30" s="1">
        <v>21418</v>
      </c>
      <c r="BV30" s="1">
        <v>20129</v>
      </c>
      <c r="BW30" s="1">
        <v>18694</v>
      </c>
      <c r="BX30" s="1">
        <v>17302</v>
      </c>
      <c r="BY30" s="1">
        <v>15860</v>
      </c>
      <c r="BZ30" s="1">
        <v>14063</v>
      </c>
      <c r="CA30" s="1">
        <v>12480</v>
      </c>
      <c r="CB30" s="1">
        <v>10903</v>
      </c>
      <c r="CC30" s="1">
        <v>9803</v>
      </c>
      <c r="CD30" s="1">
        <v>8936</v>
      </c>
      <c r="CE30" s="1">
        <v>8232</v>
      </c>
      <c r="CF30" s="1">
        <v>7585</v>
      </c>
      <c r="CG30" s="1">
        <v>7189</v>
      </c>
      <c r="CH30" s="1">
        <v>6621</v>
      </c>
      <c r="CI30" s="1">
        <v>5955</v>
      </c>
      <c r="CJ30" s="1">
        <v>5312</v>
      </c>
      <c r="CK30" s="1">
        <v>4692</v>
      </c>
      <c r="CL30" s="1">
        <v>4137</v>
      </c>
      <c r="CM30" s="1">
        <v>3673</v>
      </c>
      <c r="CN30" s="1">
        <v>3097</v>
      </c>
      <c r="CO30" s="1">
        <v>2619</v>
      </c>
      <c r="CP30" s="1">
        <v>2138</v>
      </c>
      <c r="CQ30" s="1">
        <v>1787</v>
      </c>
      <c r="CR30" s="1">
        <v>1504</v>
      </c>
      <c r="CS30" s="1">
        <v>1230</v>
      </c>
      <c r="CT30" s="1">
        <v>957</v>
      </c>
      <c r="CU30" s="1">
        <v>761</v>
      </c>
      <c r="CV30" s="1">
        <v>611</v>
      </c>
      <c r="CW30" s="1">
        <v>504</v>
      </c>
      <c r="CX30" s="1">
        <v>393</v>
      </c>
      <c r="CY30" s="1">
        <v>333</v>
      </c>
      <c r="CZ30" s="1">
        <v>333</v>
      </c>
      <c r="DA30" s="1">
        <v>224</v>
      </c>
      <c r="DB30">
        <v>39.660430544060802</v>
      </c>
      <c r="DC30">
        <v>0</v>
      </c>
      <c r="DD30">
        <v>23685</v>
      </c>
      <c r="DE30">
        <v>23569</v>
      </c>
      <c r="DF30">
        <v>23232</v>
      </c>
      <c r="DG30">
        <v>22552</v>
      </c>
      <c r="DH30">
        <v>22428</v>
      </c>
      <c r="DI30">
        <v>22107</v>
      </c>
      <c r="DJ30">
        <v>21898</v>
      </c>
      <c r="DK30">
        <v>22164</v>
      </c>
      <c r="DL30">
        <v>21450</v>
      </c>
      <c r="DM30">
        <v>21601</v>
      </c>
      <c r="DN30">
        <v>21444</v>
      </c>
      <c r="DO30">
        <v>21503</v>
      </c>
      <c r="DP30">
        <v>21814</v>
      </c>
      <c r="DQ30">
        <v>22211</v>
      </c>
      <c r="DR30">
        <v>23100</v>
      </c>
      <c r="DS30">
        <v>23291</v>
      </c>
      <c r="DT30">
        <v>23965</v>
      </c>
      <c r="DU30">
        <v>25013</v>
      </c>
      <c r="DV30">
        <v>25329</v>
      </c>
      <c r="DW30">
        <v>26317</v>
      </c>
      <c r="DX30">
        <v>27082</v>
      </c>
      <c r="DY30">
        <v>28065</v>
      </c>
      <c r="DZ30">
        <v>28647</v>
      </c>
      <c r="EA30">
        <v>29184</v>
      </c>
      <c r="EB30">
        <v>29681</v>
      </c>
      <c r="EC30">
        <v>30302</v>
      </c>
      <c r="ED30">
        <v>33939</v>
      </c>
      <c r="EE30">
        <v>52851</v>
      </c>
      <c r="EF30">
        <v>25919</v>
      </c>
      <c r="EG30">
        <v>25766</v>
      </c>
      <c r="EH30">
        <v>25490</v>
      </c>
      <c r="EI30">
        <v>25099</v>
      </c>
      <c r="EJ30">
        <v>24582</v>
      </c>
      <c r="EK30">
        <v>24155</v>
      </c>
      <c r="EL30">
        <v>23817</v>
      </c>
      <c r="EM30">
        <v>23463</v>
      </c>
      <c r="EN30">
        <v>23274</v>
      </c>
      <c r="EO30">
        <v>23033</v>
      </c>
      <c r="EP30">
        <v>22983</v>
      </c>
      <c r="EQ30">
        <v>22921</v>
      </c>
      <c r="ER30">
        <v>23243</v>
      </c>
      <c r="ES30">
        <v>23710</v>
      </c>
      <c r="ET30">
        <v>24295</v>
      </c>
      <c r="EU30">
        <v>24883</v>
      </c>
      <c r="EV30">
        <v>25179</v>
      </c>
      <c r="EW30">
        <v>25626</v>
      </c>
      <c r="EX30">
        <v>25963</v>
      </c>
      <c r="EY30">
        <v>26348</v>
      </c>
      <c r="EZ30">
        <v>26892</v>
      </c>
      <c r="FA30">
        <v>27241</v>
      </c>
      <c r="FB30">
        <v>27982</v>
      </c>
      <c r="FC30">
        <v>29086</v>
      </c>
      <c r="FD30">
        <v>30220</v>
      </c>
      <c r="FE30">
        <v>31047</v>
      </c>
      <c r="FF30">
        <v>31593</v>
      </c>
      <c r="FG30">
        <v>31856</v>
      </c>
      <c r="FH30">
        <v>31806</v>
      </c>
      <c r="FI30">
        <v>31759</v>
      </c>
      <c r="FJ30">
        <v>31604</v>
      </c>
      <c r="FK30">
        <v>31164</v>
      </c>
      <c r="FL30">
        <v>30473</v>
      </c>
      <c r="FM30">
        <v>29373</v>
      </c>
      <c r="FN30">
        <v>28159</v>
      </c>
      <c r="FO30">
        <v>27011</v>
      </c>
      <c r="FP30">
        <v>26158</v>
      </c>
      <c r="FQ30">
        <v>25061</v>
      </c>
      <c r="FR30">
        <v>23809</v>
      </c>
      <c r="FS30">
        <v>22348</v>
      </c>
      <c r="FT30">
        <v>21149</v>
      </c>
      <c r="FU30">
        <v>20002</v>
      </c>
      <c r="FV30">
        <v>18571</v>
      </c>
      <c r="FW30">
        <v>16733</v>
      </c>
      <c r="FX30">
        <v>14766</v>
      </c>
      <c r="FY30">
        <v>13208</v>
      </c>
      <c r="FZ30">
        <v>11971</v>
      </c>
      <c r="GA30">
        <v>11349</v>
      </c>
      <c r="GB30">
        <v>10651</v>
      </c>
      <c r="GC30">
        <v>10064</v>
      </c>
      <c r="GD30">
        <v>9560</v>
      </c>
      <c r="GE30">
        <v>9349</v>
      </c>
      <c r="GF30">
        <v>8453</v>
      </c>
      <c r="GG30">
        <v>7732</v>
      </c>
      <c r="GH30">
        <v>7084</v>
      </c>
      <c r="GI30">
        <v>6525</v>
      </c>
      <c r="GJ30">
        <v>6095</v>
      </c>
      <c r="GK30">
        <v>5111</v>
      </c>
      <c r="GL30">
        <v>4376</v>
      </c>
      <c r="GM30">
        <v>3684</v>
      </c>
      <c r="GN30">
        <v>3132</v>
      </c>
      <c r="GO30">
        <v>2602</v>
      </c>
      <c r="GP30">
        <v>2260</v>
      </c>
      <c r="GQ30">
        <v>1874</v>
      </c>
      <c r="GR30">
        <v>1497</v>
      </c>
      <c r="GS30">
        <v>1234</v>
      </c>
      <c r="GT30">
        <v>1042</v>
      </c>
      <c r="GU30">
        <v>924</v>
      </c>
      <c r="GV30">
        <v>739</v>
      </c>
      <c r="GW30">
        <v>674</v>
      </c>
      <c r="GX30">
        <v>581</v>
      </c>
      <c r="GY30">
        <v>40.498154833275201</v>
      </c>
      <c r="GZ30">
        <v>2127</v>
      </c>
      <c r="HA30">
        <v>10503</v>
      </c>
      <c r="HB30">
        <v>21027</v>
      </c>
      <c r="HC30">
        <v>25335</v>
      </c>
      <c r="HD30">
        <v>19050</v>
      </c>
      <c r="HE30">
        <v>8298</v>
      </c>
      <c r="HF30">
        <v>2879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47739</v>
      </c>
      <c r="HO30">
        <v>168996</v>
      </c>
      <c r="HP30">
        <v>216879</v>
      </c>
      <c r="HQ30">
        <v>250393</v>
      </c>
      <c r="HR30">
        <v>192978</v>
      </c>
      <c r="HS30">
        <v>81223</v>
      </c>
      <c r="HT30">
        <v>20734</v>
      </c>
      <c r="HU30">
        <v>61674</v>
      </c>
      <c r="HV30">
        <v>211934</v>
      </c>
      <c r="HW30">
        <v>221527</v>
      </c>
      <c r="HX30">
        <v>277426</v>
      </c>
      <c r="HY30">
        <v>246089</v>
      </c>
      <c r="HZ30">
        <v>127343</v>
      </c>
      <c r="IA30">
        <v>72678</v>
      </c>
      <c r="IB30">
        <v>261833</v>
      </c>
      <c r="IC30">
        <v>92536</v>
      </c>
      <c r="ID30">
        <v>36712</v>
      </c>
      <c r="IE30">
        <v>35703</v>
      </c>
      <c r="IF30">
        <v>22744</v>
      </c>
      <c r="IG30">
        <v>7136</v>
      </c>
      <c r="IH30">
        <v>3725</v>
      </c>
      <c r="II30">
        <v>250313</v>
      </c>
      <c r="IJ30">
        <v>29728</v>
      </c>
      <c r="IK30">
        <v>27533</v>
      </c>
      <c r="IL30">
        <v>26768</v>
      </c>
      <c r="IM30">
        <v>18616</v>
      </c>
      <c r="IN30">
        <v>9532</v>
      </c>
      <c r="IO30">
        <v>5265</v>
      </c>
      <c r="IP30">
        <v>1272</v>
      </c>
      <c r="IQ30">
        <v>5741</v>
      </c>
      <c r="IR30">
        <v>2989</v>
      </c>
      <c r="IS30">
        <v>3640</v>
      </c>
      <c r="IT30">
        <v>9969</v>
      </c>
      <c r="IU30">
        <v>15696</v>
      </c>
      <c r="IV30">
        <v>20601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</row>
    <row r="31" spans="1:263" x14ac:dyDescent="0.3">
      <c r="A31" s="1">
        <v>2019</v>
      </c>
      <c r="B31" s="1">
        <v>4038161</v>
      </c>
      <c r="C31" s="1">
        <v>1680144</v>
      </c>
      <c r="D31" s="1">
        <v>2004230</v>
      </c>
      <c r="E31" s="1">
        <v>2033931</v>
      </c>
      <c r="F31" s="1">
        <v>0</v>
      </c>
      <c r="G31" s="1">
        <v>21493</v>
      </c>
      <c r="H31" s="1">
        <v>21434</v>
      </c>
      <c r="I31" s="1">
        <v>21776</v>
      </c>
      <c r="J31" s="1">
        <v>21331</v>
      </c>
      <c r="K31" s="1">
        <v>20625</v>
      </c>
      <c r="L31" s="1">
        <v>20844</v>
      </c>
      <c r="M31" s="1">
        <v>20613</v>
      </c>
      <c r="N31" s="1">
        <v>20376</v>
      </c>
      <c r="O31" s="1">
        <v>20214</v>
      </c>
      <c r="P31" s="1">
        <v>20208</v>
      </c>
      <c r="Q31" s="1">
        <v>19918</v>
      </c>
      <c r="R31" s="1">
        <v>20139</v>
      </c>
      <c r="S31" s="1">
        <v>20440</v>
      </c>
      <c r="T31" s="1">
        <v>20576</v>
      </c>
      <c r="U31" s="1">
        <v>21227</v>
      </c>
      <c r="V31" s="1">
        <v>21701</v>
      </c>
      <c r="W31" s="1">
        <v>22204</v>
      </c>
      <c r="X31" s="1">
        <v>23101</v>
      </c>
      <c r="Y31" s="1">
        <v>23597</v>
      </c>
      <c r="Z31" s="1">
        <v>24256</v>
      </c>
      <c r="AA31" s="1">
        <v>25536</v>
      </c>
      <c r="AB31" s="1">
        <v>25974</v>
      </c>
      <c r="AC31" s="1">
        <v>26855</v>
      </c>
      <c r="AD31" s="1">
        <v>27514</v>
      </c>
      <c r="AE31" s="1">
        <v>28609</v>
      </c>
      <c r="AF31" s="1">
        <v>28857</v>
      </c>
      <c r="AG31" s="1">
        <v>30178</v>
      </c>
      <c r="AH31" s="1">
        <v>35875</v>
      </c>
      <c r="AI31" s="1">
        <v>54789</v>
      </c>
      <c r="AJ31" s="1">
        <v>29856</v>
      </c>
      <c r="AK31" s="1">
        <v>29664</v>
      </c>
      <c r="AL31" s="1">
        <v>29101</v>
      </c>
      <c r="AM31" s="1">
        <v>28979</v>
      </c>
      <c r="AN31" s="1">
        <v>28306</v>
      </c>
      <c r="AO31" s="1">
        <v>27976</v>
      </c>
      <c r="AP31" s="1">
        <v>27622</v>
      </c>
      <c r="AQ31" s="1">
        <v>27282</v>
      </c>
      <c r="AR31" s="1">
        <v>26887</v>
      </c>
      <c r="AS31" s="1">
        <v>26430</v>
      </c>
      <c r="AT31" s="1">
        <v>26413</v>
      </c>
      <c r="AU31" s="1">
        <v>26515</v>
      </c>
      <c r="AV31" s="1">
        <v>26626</v>
      </c>
      <c r="AW31" s="1">
        <v>26981</v>
      </c>
      <c r="AX31" s="1">
        <v>27683</v>
      </c>
      <c r="AY31" s="1">
        <v>27788</v>
      </c>
      <c r="AZ31" s="1">
        <v>28034</v>
      </c>
      <c r="BA31" s="1">
        <v>28270</v>
      </c>
      <c r="BB31" s="1">
        <v>28456</v>
      </c>
      <c r="BC31" s="1">
        <v>28589</v>
      </c>
      <c r="BD31" s="1">
        <v>28762</v>
      </c>
      <c r="BE31" s="1">
        <v>29114</v>
      </c>
      <c r="BF31" s="1">
        <v>29754</v>
      </c>
      <c r="BG31" s="1">
        <v>30772</v>
      </c>
      <c r="BH31" s="1">
        <v>31443</v>
      </c>
      <c r="BI31" s="1">
        <v>32533</v>
      </c>
      <c r="BJ31" s="1">
        <v>32765</v>
      </c>
      <c r="BK31" s="1">
        <v>32629</v>
      </c>
      <c r="BL31" s="1">
        <v>32238</v>
      </c>
      <c r="BM31" s="1">
        <v>31803</v>
      </c>
      <c r="BN31" s="1">
        <v>30952</v>
      </c>
      <c r="BO31" s="1">
        <v>30073</v>
      </c>
      <c r="BP31" s="1">
        <v>28664</v>
      </c>
      <c r="BQ31" s="1">
        <v>27198</v>
      </c>
      <c r="BR31" s="1">
        <v>25900</v>
      </c>
      <c r="BS31" s="1">
        <v>24774</v>
      </c>
      <c r="BT31" s="1">
        <v>23567</v>
      </c>
      <c r="BU31" s="1">
        <v>22442</v>
      </c>
      <c r="BV31" s="1">
        <v>21084</v>
      </c>
      <c r="BW31" s="1">
        <v>19818</v>
      </c>
      <c r="BX31" s="1">
        <v>18413</v>
      </c>
      <c r="BY31" s="1">
        <v>16848</v>
      </c>
      <c r="BZ31" s="1">
        <v>15447</v>
      </c>
      <c r="CA31" s="1">
        <v>13718</v>
      </c>
      <c r="CB31" s="1">
        <v>12149</v>
      </c>
      <c r="CC31" s="1">
        <v>10626</v>
      </c>
      <c r="CD31" s="1">
        <v>9382</v>
      </c>
      <c r="CE31" s="1">
        <v>8523</v>
      </c>
      <c r="CF31" s="1">
        <v>7876</v>
      </c>
      <c r="CG31" s="1">
        <v>7242</v>
      </c>
      <c r="CH31" s="1">
        <v>6875</v>
      </c>
      <c r="CI31" s="1">
        <v>6137</v>
      </c>
      <c r="CJ31" s="1">
        <v>5504</v>
      </c>
      <c r="CK31" s="1">
        <v>4887</v>
      </c>
      <c r="CL31" s="1">
        <v>4355</v>
      </c>
      <c r="CM31" s="1">
        <v>3843</v>
      </c>
      <c r="CN31" s="1">
        <v>3224</v>
      </c>
      <c r="CO31" s="1">
        <v>2663</v>
      </c>
      <c r="CP31" s="1">
        <v>2260</v>
      </c>
      <c r="CQ31" s="1">
        <v>1880</v>
      </c>
      <c r="CR31" s="1">
        <v>1566</v>
      </c>
      <c r="CS31" s="1">
        <v>1296</v>
      </c>
      <c r="CT31" s="1">
        <v>1059</v>
      </c>
      <c r="CU31" s="1">
        <v>840</v>
      </c>
      <c r="CV31" s="1">
        <v>666</v>
      </c>
      <c r="CW31" s="1">
        <v>525</v>
      </c>
      <c r="CX31" s="1">
        <v>440</v>
      </c>
      <c r="CY31" s="1">
        <v>329</v>
      </c>
      <c r="CZ31" s="1">
        <v>281</v>
      </c>
      <c r="DA31" s="1">
        <v>289</v>
      </c>
      <c r="DB31">
        <v>39.995025824378203</v>
      </c>
      <c r="DC31">
        <v>0</v>
      </c>
      <c r="DD31">
        <v>23513</v>
      </c>
      <c r="DE31">
        <v>23682</v>
      </c>
      <c r="DF31">
        <v>23568</v>
      </c>
      <c r="DG31">
        <v>23233</v>
      </c>
      <c r="DH31">
        <v>22557</v>
      </c>
      <c r="DI31">
        <v>22432</v>
      </c>
      <c r="DJ31">
        <v>22114</v>
      </c>
      <c r="DK31">
        <v>21907</v>
      </c>
      <c r="DL31">
        <v>22171</v>
      </c>
      <c r="DM31">
        <v>21474</v>
      </c>
      <c r="DN31">
        <v>21620</v>
      </c>
      <c r="DO31">
        <v>21467</v>
      </c>
      <c r="DP31">
        <v>21525</v>
      </c>
      <c r="DQ31">
        <v>21852</v>
      </c>
      <c r="DR31">
        <v>22261</v>
      </c>
      <c r="DS31">
        <v>23134</v>
      </c>
      <c r="DT31">
        <v>23333</v>
      </c>
      <c r="DU31">
        <v>23994</v>
      </c>
      <c r="DV31">
        <v>25058</v>
      </c>
      <c r="DW31">
        <v>25377</v>
      </c>
      <c r="DX31">
        <v>26369</v>
      </c>
      <c r="DY31">
        <v>27135</v>
      </c>
      <c r="DZ31">
        <v>28110</v>
      </c>
      <c r="EA31">
        <v>28721</v>
      </c>
      <c r="EB31">
        <v>29240</v>
      </c>
      <c r="EC31">
        <v>29755</v>
      </c>
      <c r="ED31">
        <v>30369</v>
      </c>
      <c r="EE31">
        <v>34079</v>
      </c>
      <c r="EF31">
        <v>52926</v>
      </c>
      <c r="EG31">
        <v>25991</v>
      </c>
      <c r="EH31">
        <v>25830</v>
      </c>
      <c r="EI31">
        <v>25545</v>
      </c>
      <c r="EJ31">
        <v>25172</v>
      </c>
      <c r="EK31">
        <v>24633</v>
      </c>
      <c r="EL31">
        <v>24215</v>
      </c>
      <c r="EM31">
        <v>23839</v>
      </c>
      <c r="EN31">
        <v>23490</v>
      </c>
      <c r="EO31">
        <v>23297</v>
      </c>
      <c r="EP31">
        <v>23053</v>
      </c>
      <c r="EQ31">
        <v>23004</v>
      </c>
      <c r="ER31">
        <v>22938</v>
      </c>
      <c r="ES31">
        <v>23259</v>
      </c>
      <c r="ET31">
        <v>23737</v>
      </c>
      <c r="EU31">
        <v>24315</v>
      </c>
      <c r="EV31">
        <v>24902</v>
      </c>
      <c r="EW31">
        <v>25193</v>
      </c>
      <c r="EX31">
        <v>25629</v>
      </c>
      <c r="EY31">
        <v>25972</v>
      </c>
      <c r="EZ31">
        <v>26361</v>
      </c>
      <c r="FA31">
        <v>26902</v>
      </c>
      <c r="FB31">
        <v>27223</v>
      </c>
      <c r="FC31">
        <v>27962</v>
      </c>
      <c r="FD31">
        <v>29072</v>
      </c>
      <c r="FE31">
        <v>30203</v>
      </c>
      <c r="FF31">
        <v>31050</v>
      </c>
      <c r="FG31">
        <v>31562</v>
      </c>
      <c r="FH31">
        <v>31828</v>
      </c>
      <c r="FI31">
        <v>31774</v>
      </c>
      <c r="FJ31">
        <v>31710</v>
      </c>
      <c r="FK31">
        <v>31561</v>
      </c>
      <c r="FL31">
        <v>31058</v>
      </c>
      <c r="FM31">
        <v>30373</v>
      </c>
      <c r="FN31">
        <v>29280</v>
      </c>
      <c r="FO31">
        <v>28062</v>
      </c>
      <c r="FP31">
        <v>26909</v>
      </c>
      <c r="FQ31">
        <v>25983</v>
      </c>
      <c r="FR31">
        <v>24891</v>
      </c>
      <c r="FS31">
        <v>23674</v>
      </c>
      <c r="FT31">
        <v>22194</v>
      </c>
      <c r="FU31">
        <v>21016</v>
      </c>
      <c r="FV31">
        <v>19771</v>
      </c>
      <c r="FW31">
        <v>18320</v>
      </c>
      <c r="FX31">
        <v>16528</v>
      </c>
      <c r="FY31">
        <v>14575</v>
      </c>
      <c r="FZ31">
        <v>13064</v>
      </c>
      <c r="GA31">
        <v>11671</v>
      </c>
      <c r="GB31">
        <v>11068</v>
      </c>
      <c r="GC31">
        <v>10362</v>
      </c>
      <c r="GD31">
        <v>9798</v>
      </c>
      <c r="GE31">
        <v>9308</v>
      </c>
      <c r="GF31">
        <v>8883</v>
      </c>
      <c r="GG31">
        <v>8062</v>
      </c>
      <c r="GH31">
        <v>7366</v>
      </c>
      <c r="GI31">
        <v>6749</v>
      </c>
      <c r="GJ31">
        <v>6220</v>
      </c>
      <c r="GK31">
        <v>5416</v>
      </c>
      <c r="GL31">
        <v>4511</v>
      </c>
      <c r="GM31">
        <v>3932</v>
      </c>
      <c r="GN31">
        <v>3264</v>
      </c>
      <c r="GO31">
        <v>2790</v>
      </c>
      <c r="GP31">
        <v>2310</v>
      </c>
      <c r="GQ31">
        <v>2008</v>
      </c>
      <c r="GR31">
        <v>1653</v>
      </c>
      <c r="GS31">
        <v>1342</v>
      </c>
      <c r="GT31">
        <v>1122</v>
      </c>
      <c r="GU31">
        <v>935</v>
      </c>
      <c r="GV31">
        <v>825</v>
      </c>
      <c r="GW31">
        <v>665</v>
      </c>
      <c r="GX31">
        <v>605</v>
      </c>
      <c r="GY31">
        <v>40.813043977109999</v>
      </c>
      <c r="GZ31">
        <v>2237</v>
      </c>
      <c r="HA31">
        <v>10479</v>
      </c>
      <c r="HB31">
        <v>20934</v>
      </c>
      <c r="HC31">
        <v>25807</v>
      </c>
      <c r="HD31">
        <v>20533</v>
      </c>
      <c r="HE31">
        <v>9188</v>
      </c>
      <c r="HF31">
        <v>3117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47489</v>
      </c>
      <c r="HO31">
        <v>169886</v>
      </c>
      <c r="HP31">
        <v>213823</v>
      </c>
      <c r="HQ31">
        <v>247349</v>
      </c>
      <c r="HR31">
        <v>201006</v>
      </c>
      <c r="HS31">
        <v>86286</v>
      </c>
      <c r="HT31">
        <v>21942</v>
      </c>
      <c r="HU31">
        <v>50154</v>
      </c>
      <c r="HV31">
        <v>216722</v>
      </c>
      <c r="HW31">
        <v>220028</v>
      </c>
      <c r="HX31">
        <v>274466</v>
      </c>
      <c r="HY31">
        <v>255970</v>
      </c>
      <c r="HZ31">
        <v>136803</v>
      </c>
      <c r="IA31">
        <v>76020</v>
      </c>
      <c r="IB31">
        <v>257110</v>
      </c>
      <c r="IC31">
        <v>94882</v>
      </c>
      <c r="ID31">
        <v>36713</v>
      </c>
      <c r="IE31">
        <v>34892</v>
      </c>
      <c r="IF31">
        <v>22886</v>
      </c>
      <c r="IG31">
        <v>8916</v>
      </c>
      <c r="IH31">
        <v>3695</v>
      </c>
      <c r="II31">
        <v>261927</v>
      </c>
      <c r="IJ31">
        <v>28343</v>
      </c>
      <c r="IK31">
        <v>25282</v>
      </c>
      <c r="IL31">
        <v>24820</v>
      </c>
      <c r="IM31">
        <v>18015</v>
      </c>
      <c r="IN31">
        <v>9370</v>
      </c>
      <c r="IO31">
        <v>5116</v>
      </c>
      <c r="IP31">
        <v>1607</v>
      </c>
      <c r="IQ31">
        <v>6856</v>
      </c>
      <c r="IR31">
        <v>3885</v>
      </c>
      <c r="IS31">
        <v>3765</v>
      </c>
      <c r="IT31">
        <v>10047</v>
      </c>
      <c r="IU31">
        <v>15834</v>
      </c>
      <c r="IV31">
        <v>21249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workbookViewId="0">
      <selection activeCell="B2" sqref="B2"/>
    </sheetView>
  </sheetViews>
  <sheetFormatPr defaultRowHeight="14.4" x14ac:dyDescent="0.3"/>
  <sheetData>
    <row r="1" spans="1:3" x14ac:dyDescent="0.3">
      <c r="A1" t="s">
        <v>45</v>
      </c>
      <c r="B1" t="s">
        <v>46</v>
      </c>
      <c r="C1" t="s">
        <v>47</v>
      </c>
    </row>
    <row r="2" spans="1:3" x14ac:dyDescent="0.3">
      <c r="A2">
        <v>1990</v>
      </c>
      <c r="B2">
        <f>Sheet4!B2</f>
        <v>2735862</v>
      </c>
      <c r="C2">
        <v>2735868</v>
      </c>
    </row>
    <row r="3" spans="1:3" x14ac:dyDescent="0.3">
      <c r="A3">
        <v>1991</v>
      </c>
      <c r="B3">
        <f>Sheet4!B3</f>
        <v>2790350</v>
      </c>
      <c r="C3">
        <v>2794704</v>
      </c>
    </row>
    <row r="4" spans="1:3" x14ac:dyDescent="0.3">
      <c r="A4">
        <v>1992</v>
      </c>
      <c r="B4">
        <f>Sheet4!B4</f>
        <v>2849225</v>
      </c>
      <c r="C4">
        <v>2849753</v>
      </c>
    </row>
    <row r="5" spans="1:3" x14ac:dyDescent="0.3">
      <c r="A5">
        <v>1993</v>
      </c>
      <c r="B5">
        <f>Sheet4!B5</f>
        <v>2910879</v>
      </c>
      <c r="C5">
        <v>2904546</v>
      </c>
    </row>
    <row r="6" spans="1:3" x14ac:dyDescent="0.3">
      <c r="A6">
        <v>1994</v>
      </c>
      <c r="B6">
        <f>Sheet4!B6</f>
        <v>2973316</v>
      </c>
      <c r="C6">
        <v>2959351</v>
      </c>
    </row>
    <row r="7" spans="1:3" x14ac:dyDescent="0.3">
      <c r="A7">
        <v>1995</v>
      </c>
      <c r="B7">
        <f>Sheet4!B7</f>
        <v>3036851</v>
      </c>
      <c r="C7">
        <v>3013518</v>
      </c>
    </row>
    <row r="8" spans="1:3" x14ac:dyDescent="0.3">
      <c r="A8">
        <v>1996</v>
      </c>
      <c r="B8">
        <f>Sheet4!B8</f>
        <v>3100020</v>
      </c>
      <c r="C8">
        <v>3068130</v>
      </c>
    </row>
    <row r="9" spans="1:3" x14ac:dyDescent="0.3">
      <c r="A9">
        <v>1997</v>
      </c>
      <c r="B9">
        <f>Sheet4!B9</f>
        <v>3161849</v>
      </c>
      <c r="C9">
        <v>3123403</v>
      </c>
    </row>
    <row r="10" spans="1:3" x14ac:dyDescent="0.3">
      <c r="A10">
        <v>1998</v>
      </c>
      <c r="B10">
        <f>Sheet4!B10</f>
        <v>3221116</v>
      </c>
      <c r="C10">
        <v>3180019</v>
      </c>
    </row>
    <row r="11" spans="1:3" x14ac:dyDescent="0.3">
      <c r="A11">
        <v>1999</v>
      </c>
      <c r="B11">
        <f>Sheet4!B11</f>
        <v>3278084</v>
      </c>
      <c r="C11">
        <v>3229681</v>
      </c>
    </row>
    <row r="12" spans="1:3" x14ac:dyDescent="0.3">
      <c r="A12">
        <v>2000</v>
      </c>
      <c r="B12">
        <f>Sheet4!B12</f>
        <v>3331728</v>
      </c>
      <c r="C12">
        <v>3273363</v>
      </c>
    </row>
    <row r="13" spans="1:3" x14ac:dyDescent="0.3">
      <c r="A13">
        <v>2001</v>
      </c>
      <c r="B13">
        <f>Sheet4!B13</f>
        <v>3383062</v>
      </c>
      <c r="C13">
        <v>3325902</v>
      </c>
    </row>
    <row r="14" spans="1:3" x14ac:dyDescent="0.3">
      <c r="A14">
        <v>2002</v>
      </c>
      <c r="B14">
        <f>Sheet4!B14</f>
        <v>3430888</v>
      </c>
      <c r="C14">
        <v>3382944</v>
      </c>
    </row>
    <row r="15" spans="1:3" x14ac:dyDescent="0.3">
      <c r="A15">
        <v>2003</v>
      </c>
      <c r="B15">
        <f>Sheet4!B15</f>
        <v>3475871</v>
      </c>
      <c r="C15">
        <v>3366891</v>
      </c>
    </row>
    <row r="16" spans="1:3" x14ac:dyDescent="0.3">
      <c r="A16">
        <v>2004</v>
      </c>
      <c r="B16">
        <f>Sheet4!B16</f>
        <v>3519268</v>
      </c>
      <c r="C16">
        <v>3413266</v>
      </c>
    </row>
    <row r="17" spans="1:3" x14ac:dyDescent="0.3">
      <c r="A17">
        <v>2005</v>
      </c>
      <c r="B17">
        <f>Sheet4!B17</f>
        <v>3560103</v>
      </c>
      <c r="C17">
        <v>3467814</v>
      </c>
    </row>
    <row r="18" spans="1:3" x14ac:dyDescent="0.3">
      <c r="A18">
        <v>2006</v>
      </c>
      <c r="B18">
        <f>Sheet4!B18</f>
        <v>3599061</v>
      </c>
      <c r="C18">
        <v>3525894</v>
      </c>
    </row>
    <row r="19" spans="1:3" x14ac:dyDescent="0.3">
      <c r="A19">
        <v>2007</v>
      </c>
      <c r="B19">
        <f>Sheet4!B19</f>
        <v>3636797</v>
      </c>
      <c r="C19">
        <v>3583082</v>
      </c>
    </row>
    <row r="20" spans="1:3" x14ac:dyDescent="0.3">
      <c r="A20">
        <v>2008</v>
      </c>
      <c r="B20">
        <f>Sheet4!B20</f>
        <v>3673974</v>
      </c>
      <c r="C20">
        <v>3642659</v>
      </c>
    </row>
    <row r="21" spans="1:3" x14ac:dyDescent="0.3">
      <c r="A21">
        <v>2009</v>
      </c>
      <c r="B21">
        <f>Sheet4!B21</f>
        <v>3710389</v>
      </c>
      <c r="C21">
        <v>3733876</v>
      </c>
    </row>
    <row r="22" spans="1:3" x14ac:dyDescent="0.3">
      <c r="A22">
        <v>2010</v>
      </c>
      <c r="B22">
        <f>Sheet4!B22</f>
        <v>3746420</v>
      </c>
      <c r="C22">
        <v>3771721</v>
      </c>
    </row>
    <row r="23" spans="1:3" x14ac:dyDescent="0.3">
      <c r="A23">
        <v>2011</v>
      </c>
      <c r="B23">
        <f>Sheet4!B23</f>
        <v>3782469</v>
      </c>
      <c r="C23">
        <v>3789251</v>
      </c>
    </row>
    <row r="24" spans="1:3" x14ac:dyDescent="0.3">
      <c r="A24">
        <v>2012</v>
      </c>
      <c r="B24">
        <f>Sheet4!B24</f>
        <v>3817983</v>
      </c>
      <c r="C24">
        <v>3818205</v>
      </c>
    </row>
    <row r="25" spans="1:3" x14ac:dyDescent="0.3">
      <c r="A25">
        <v>2013</v>
      </c>
      <c r="B25">
        <f>Sheet4!B25</f>
        <v>3852828</v>
      </c>
      <c r="C25">
        <v>3844751</v>
      </c>
    </row>
    <row r="26" spans="1:3" x14ac:dyDescent="0.3">
      <c r="A26">
        <v>2014</v>
      </c>
      <c r="B26">
        <f>Sheet4!B26</f>
        <v>3886657</v>
      </c>
      <c r="C26">
        <v>3870739</v>
      </c>
    </row>
    <row r="27" spans="1:3" x14ac:dyDescent="0.3">
      <c r="A27">
        <v>2015</v>
      </c>
      <c r="B27">
        <f>Sheet4!B27</f>
        <v>3918984</v>
      </c>
      <c r="C27">
        <v>3902690</v>
      </c>
    </row>
    <row r="28" spans="1:3" x14ac:dyDescent="0.3">
      <c r="A28">
        <v>2016</v>
      </c>
      <c r="B28">
        <f>Sheet4!B28</f>
        <v>3951195</v>
      </c>
      <c r="C28">
        <v>3933559</v>
      </c>
    </row>
    <row r="29" spans="1:3" x14ac:dyDescent="0.3">
      <c r="A29">
        <v>2017</v>
      </c>
      <c r="B29">
        <f>Sheet4!B29</f>
        <v>3982239</v>
      </c>
      <c r="C29">
        <v>3965796</v>
      </c>
    </row>
    <row r="30" spans="1:3" x14ac:dyDescent="0.3">
      <c r="A30">
        <v>2018</v>
      </c>
      <c r="B30">
        <f>Sheet4!B30</f>
        <v>4011088</v>
      </c>
      <c r="C30">
        <v>3994283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topLeftCell="A4" workbookViewId="0">
      <selection activeCell="W15" sqref="W15"/>
    </sheetView>
  </sheetViews>
  <sheetFormatPr defaultRowHeight="14.4" x14ac:dyDescent="0.3"/>
  <sheetData>
    <row r="1" spans="1:3" x14ac:dyDescent="0.3">
      <c r="A1" t="s">
        <v>45</v>
      </c>
      <c r="B1" t="s">
        <v>46</v>
      </c>
      <c r="C1" t="s">
        <v>47</v>
      </c>
    </row>
    <row r="2" spans="1:3" x14ac:dyDescent="0.3">
      <c r="A2">
        <v>1990</v>
      </c>
      <c r="B2">
        <f>Sheet4!C2</f>
        <v>246389</v>
      </c>
      <c r="C2">
        <v>311264</v>
      </c>
    </row>
    <row r="3" spans="1:3" x14ac:dyDescent="0.3">
      <c r="A3">
        <v>1991</v>
      </c>
      <c r="B3">
        <f>Sheet4!C3</f>
        <v>310676</v>
      </c>
      <c r="C3">
        <v>340379</v>
      </c>
    </row>
    <row r="4" spans="1:3" x14ac:dyDescent="0.3">
      <c r="A4">
        <v>1992</v>
      </c>
      <c r="B4">
        <f>Sheet4!C4</f>
        <v>375760</v>
      </c>
      <c r="C4">
        <v>380944</v>
      </c>
    </row>
    <row r="5" spans="1:3" x14ac:dyDescent="0.3">
      <c r="A5">
        <v>1993</v>
      </c>
      <c r="B5">
        <f>Sheet4!C5</f>
        <v>439052</v>
      </c>
      <c r="C5">
        <v>408924</v>
      </c>
    </row>
    <row r="6" spans="1:3" x14ac:dyDescent="0.3">
      <c r="A6">
        <v>1994</v>
      </c>
      <c r="B6">
        <f>Sheet4!C6</f>
        <v>497903</v>
      </c>
      <c r="C6">
        <v>459698</v>
      </c>
    </row>
    <row r="7" spans="1:3" x14ac:dyDescent="0.3">
      <c r="A7">
        <v>1995</v>
      </c>
      <c r="B7">
        <f>Sheet4!C7</f>
        <v>549981</v>
      </c>
      <c r="C7">
        <v>510991</v>
      </c>
    </row>
    <row r="8" spans="1:3" x14ac:dyDescent="0.3">
      <c r="A8">
        <v>1996</v>
      </c>
      <c r="B8">
        <f>Sheet4!C8</f>
        <v>593639</v>
      </c>
      <c r="C8">
        <v>602572</v>
      </c>
    </row>
    <row r="9" spans="1:3" x14ac:dyDescent="0.3">
      <c r="A9">
        <v>1997</v>
      </c>
      <c r="B9">
        <f>Sheet4!C9</f>
        <v>628201</v>
      </c>
      <c r="C9">
        <v>672635</v>
      </c>
    </row>
    <row r="10" spans="1:3" x14ac:dyDescent="0.3">
      <c r="A10">
        <v>1998</v>
      </c>
      <c r="B10">
        <f>Sheet4!C10</f>
        <v>654152</v>
      </c>
      <c r="C10">
        <v>747195</v>
      </c>
    </row>
    <row r="11" spans="1:3" x14ac:dyDescent="0.3">
      <c r="A11">
        <v>1999</v>
      </c>
      <c r="B11">
        <f>Sheet4!C11</f>
        <v>673177</v>
      </c>
      <c r="C11">
        <v>729042</v>
      </c>
    </row>
    <row r="12" spans="1:3" x14ac:dyDescent="0.3">
      <c r="A12">
        <v>2000</v>
      </c>
      <c r="B12">
        <f>Sheet4!C12</f>
        <v>688062</v>
      </c>
      <c r="C12">
        <v>754524</v>
      </c>
    </row>
    <row r="13" spans="1:3" x14ac:dyDescent="0.3">
      <c r="A13">
        <v>2001</v>
      </c>
      <c r="B13">
        <f>Sheet4!C13</f>
        <v>702437</v>
      </c>
      <c r="C13">
        <v>812110</v>
      </c>
    </row>
    <row r="14" spans="1:3" x14ac:dyDescent="0.3">
      <c r="A14">
        <v>2002</v>
      </c>
      <c r="B14">
        <f>Sheet4!C14</f>
        <v>720402</v>
      </c>
      <c r="C14">
        <v>793006</v>
      </c>
    </row>
    <row r="15" spans="1:3" x14ac:dyDescent="0.3">
      <c r="A15">
        <v>2003</v>
      </c>
      <c r="B15">
        <f>Sheet4!C15</f>
        <v>746068</v>
      </c>
      <c r="C15">
        <v>747935</v>
      </c>
    </row>
    <row r="16" spans="1:3" x14ac:dyDescent="0.3">
      <c r="A16">
        <v>2004</v>
      </c>
      <c r="B16">
        <f>Sheet4!C16</f>
        <v>783057</v>
      </c>
      <c r="C16">
        <v>753398</v>
      </c>
    </row>
    <row r="17" spans="1:3" x14ac:dyDescent="0.3">
      <c r="A17">
        <v>2005</v>
      </c>
      <c r="B17">
        <f>Sheet4!C17</f>
        <v>834038</v>
      </c>
      <c r="C17">
        <v>797948</v>
      </c>
    </row>
    <row r="18" spans="1:3" x14ac:dyDescent="0.3">
      <c r="A18">
        <v>2006</v>
      </c>
      <c r="B18">
        <f>Sheet4!C18</f>
        <v>900325</v>
      </c>
      <c r="C18">
        <v>875471</v>
      </c>
    </row>
    <row r="19" spans="1:3" x14ac:dyDescent="0.3">
      <c r="A19">
        <v>2007</v>
      </c>
      <c r="B19">
        <f>Sheet4!C19</f>
        <v>981622</v>
      </c>
      <c r="C19">
        <v>1005517</v>
      </c>
    </row>
    <row r="20" spans="1:3" x14ac:dyDescent="0.3">
      <c r="A20">
        <v>2008</v>
      </c>
      <c r="B20">
        <f>Sheet4!C20</f>
        <v>1075922</v>
      </c>
      <c r="C20">
        <v>1196737</v>
      </c>
    </row>
    <row r="21" spans="1:3" x14ac:dyDescent="0.3">
      <c r="A21">
        <v>2009</v>
      </c>
      <c r="B21">
        <f>Sheet4!C21</f>
        <v>1179610</v>
      </c>
      <c r="C21">
        <v>1253697</v>
      </c>
    </row>
    <row r="22" spans="1:3" x14ac:dyDescent="0.3">
      <c r="A22">
        <v>2010</v>
      </c>
      <c r="B22">
        <f>Sheet4!C22</f>
        <v>1287743</v>
      </c>
      <c r="C22">
        <v>1305011</v>
      </c>
    </row>
    <row r="23" spans="1:3" x14ac:dyDescent="0.3">
      <c r="A23">
        <v>2011</v>
      </c>
      <c r="B23">
        <f>Sheet4!C23</f>
        <v>1394500</v>
      </c>
      <c r="C23">
        <v>1394437</v>
      </c>
    </row>
    <row r="24" spans="1:3" x14ac:dyDescent="0.3">
      <c r="A24">
        <v>2012</v>
      </c>
      <c r="B24">
        <f>Sheet4!C24</f>
        <v>1493765</v>
      </c>
      <c r="C24">
        <v>1494232</v>
      </c>
    </row>
    <row r="25" spans="1:3" x14ac:dyDescent="0.3">
      <c r="A25">
        <v>2013</v>
      </c>
      <c r="B25">
        <f>Sheet4!C25</f>
        <v>1579774</v>
      </c>
      <c r="C25">
        <v>1554411</v>
      </c>
    </row>
    <row r="26" spans="1:3" x14ac:dyDescent="0.3">
      <c r="A26">
        <v>2014</v>
      </c>
      <c r="B26">
        <f>Sheet4!C26</f>
        <v>1647761</v>
      </c>
      <c r="C26">
        <v>1598985</v>
      </c>
    </row>
    <row r="27" spans="1:3" x14ac:dyDescent="0.3">
      <c r="A27">
        <v>2015</v>
      </c>
      <c r="B27">
        <f>Sheet4!C27</f>
        <v>1694539</v>
      </c>
      <c r="C27">
        <v>1632312</v>
      </c>
    </row>
    <row r="28" spans="1:3" x14ac:dyDescent="0.3">
      <c r="A28">
        <v>2016</v>
      </c>
      <c r="B28">
        <f>Sheet4!C28</f>
        <v>1718942</v>
      </c>
      <c r="C28">
        <v>1673724</v>
      </c>
    </row>
    <row r="29" spans="1:3" x14ac:dyDescent="0.3">
      <c r="A29">
        <v>2017</v>
      </c>
      <c r="B29">
        <f>Sheet4!C29</f>
        <v>1722072</v>
      </c>
      <c r="C29">
        <v>1646457</v>
      </c>
    </row>
    <row r="30" spans="1:3" x14ac:dyDescent="0.3">
      <c r="A30">
        <v>2018</v>
      </c>
      <c r="B30">
        <f>Sheet4!C30</f>
        <v>1707320</v>
      </c>
      <c r="C30">
        <v>1644393</v>
      </c>
    </row>
    <row r="31" spans="1:3" x14ac:dyDescent="0.3">
      <c r="A31">
        <v>2019</v>
      </c>
      <c r="B31">
        <f>Sheet4!C31</f>
        <v>1680144</v>
      </c>
      <c r="C31">
        <v>1677360</v>
      </c>
    </row>
    <row r="32" spans="1:3" x14ac:dyDescent="0.3">
      <c r="B32">
        <v>1647613</v>
      </c>
    </row>
    <row r="33" spans="2:2" x14ac:dyDescent="0.3">
      <c r="B33">
        <v>1617756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workbookViewId="0">
      <selection activeCell="U18" sqref="U18"/>
    </sheetView>
  </sheetViews>
  <sheetFormatPr defaultRowHeight="14.4" x14ac:dyDescent="0.3"/>
  <sheetData>
    <row r="1" spans="1:3" x14ac:dyDescent="0.3">
      <c r="A1" t="s">
        <v>45</v>
      </c>
      <c r="B1" t="s">
        <v>46</v>
      </c>
      <c r="C1" t="s">
        <v>47</v>
      </c>
    </row>
    <row r="2" spans="1:3" x14ac:dyDescent="0.3">
      <c r="A2">
        <v>1990</v>
      </c>
      <c r="B2">
        <f>'Non-residents'!B2+Residents!B2</f>
        <v>2982251</v>
      </c>
      <c r="C2">
        <f>'Non-residents'!C2+Residents!C2</f>
        <v>3047132</v>
      </c>
    </row>
    <row r="3" spans="1:3" x14ac:dyDescent="0.3">
      <c r="A3">
        <v>1991</v>
      </c>
      <c r="B3">
        <f>'Non-residents'!B3+Residents!B3</f>
        <v>3101026</v>
      </c>
      <c r="C3">
        <f>'Non-residents'!C3+Residents!C3</f>
        <v>3135083</v>
      </c>
    </row>
    <row r="4" spans="1:3" x14ac:dyDescent="0.3">
      <c r="A4">
        <v>1992</v>
      </c>
      <c r="B4">
        <f>'Non-residents'!B4+Residents!B4</f>
        <v>3224985</v>
      </c>
      <c r="C4">
        <f>'Non-residents'!C4+Residents!C4</f>
        <v>3230697</v>
      </c>
    </row>
    <row r="5" spans="1:3" x14ac:dyDescent="0.3">
      <c r="A5">
        <v>1993</v>
      </c>
      <c r="B5">
        <f>'Non-residents'!B5+Residents!B5</f>
        <v>3349931</v>
      </c>
      <c r="C5">
        <f>'Non-residents'!C5+Residents!C5</f>
        <v>3313470</v>
      </c>
    </row>
    <row r="6" spans="1:3" x14ac:dyDescent="0.3">
      <c r="A6">
        <v>1994</v>
      </c>
      <c r="B6">
        <f>'Non-residents'!B6+Residents!B6</f>
        <v>3471219</v>
      </c>
      <c r="C6">
        <f>'Non-residents'!C6+Residents!C6</f>
        <v>3419049</v>
      </c>
    </row>
    <row r="7" spans="1:3" x14ac:dyDescent="0.3">
      <c r="A7">
        <v>1995</v>
      </c>
      <c r="B7">
        <f>'Non-residents'!B7+Residents!B7</f>
        <v>3586832</v>
      </c>
      <c r="C7">
        <f>'Non-residents'!C7+Residents!C7</f>
        <v>3524509</v>
      </c>
    </row>
    <row r="8" spans="1:3" x14ac:dyDescent="0.3">
      <c r="A8">
        <v>1996</v>
      </c>
      <c r="B8">
        <f>'Non-residents'!B8+Residents!B8</f>
        <v>3693659</v>
      </c>
      <c r="C8">
        <f>'Non-residents'!C8+Residents!C8</f>
        <v>3670702</v>
      </c>
    </row>
    <row r="9" spans="1:3" x14ac:dyDescent="0.3">
      <c r="A9">
        <v>1997</v>
      </c>
      <c r="B9">
        <f>'Non-residents'!B9+Residents!B9</f>
        <v>3790050</v>
      </c>
      <c r="C9">
        <f>'Non-residents'!C9+Residents!C9</f>
        <v>3796038</v>
      </c>
    </row>
    <row r="10" spans="1:3" x14ac:dyDescent="0.3">
      <c r="A10">
        <v>1998</v>
      </c>
      <c r="B10">
        <f>'Non-residents'!B10+Residents!B10</f>
        <v>3875268</v>
      </c>
      <c r="C10">
        <f>'Non-residents'!C10+Residents!C10</f>
        <v>3927214</v>
      </c>
    </row>
    <row r="11" spans="1:3" x14ac:dyDescent="0.3">
      <c r="A11">
        <v>1999</v>
      </c>
      <c r="B11">
        <f>'Non-residents'!B11+Residents!B11</f>
        <v>3951261</v>
      </c>
      <c r="C11">
        <f>'Non-residents'!C11+Residents!C11</f>
        <v>3958723</v>
      </c>
    </row>
    <row r="12" spans="1:3" x14ac:dyDescent="0.3">
      <c r="A12">
        <v>2000</v>
      </c>
      <c r="B12">
        <f>'Non-residents'!B12+Residents!B12</f>
        <v>4019790</v>
      </c>
      <c r="C12">
        <f>'Non-residents'!C12+Residents!C12</f>
        <v>4027887</v>
      </c>
    </row>
    <row r="13" spans="1:3" x14ac:dyDescent="0.3">
      <c r="A13">
        <v>2001</v>
      </c>
      <c r="B13">
        <f>'Non-residents'!B13+Residents!B13</f>
        <v>4085499</v>
      </c>
      <c r="C13">
        <f>'Non-residents'!C13+Residents!C13</f>
        <v>4138012</v>
      </c>
    </row>
    <row r="14" spans="1:3" x14ac:dyDescent="0.3">
      <c r="A14">
        <v>2002</v>
      </c>
      <c r="B14">
        <f>'Non-residents'!B14+Residents!B14</f>
        <v>4151290</v>
      </c>
      <c r="C14">
        <f>'Non-residents'!C14+Residents!C14</f>
        <v>4175950</v>
      </c>
    </row>
    <row r="15" spans="1:3" x14ac:dyDescent="0.3">
      <c r="A15">
        <v>2003</v>
      </c>
      <c r="B15">
        <f>'Non-residents'!B15+Residents!B15</f>
        <v>4221939</v>
      </c>
      <c r="C15">
        <f>'Non-residents'!C15+Residents!C15</f>
        <v>4114826</v>
      </c>
    </row>
    <row r="16" spans="1:3" x14ac:dyDescent="0.3">
      <c r="A16">
        <v>2004</v>
      </c>
      <c r="B16">
        <f>'Non-residents'!B16+Residents!B16</f>
        <v>4302325</v>
      </c>
      <c r="C16">
        <f>'Non-residents'!C16+Residents!C16</f>
        <v>4166664</v>
      </c>
    </row>
    <row r="17" spans="1:3" x14ac:dyDescent="0.3">
      <c r="A17">
        <v>2005</v>
      </c>
      <c r="B17">
        <f>'Non-residents'!B17+Residents!B17</f>
        <v>4394141</v>
      </c>
      <c r="C17">
        <f>'Non-residents'!C17+Residents!C17</f>
        <v>4265762</v>
      </c>
    </row>
    <row r="18" spans="1:3" x14ac:dyDescent="0.3">
      <c r="A18">
        <v>2006</v>
      </c>
      <c r="B18">
        <f>'Non-residents'!B18+Residents!B18</f>
        <v>4499386</v>
      </c>
      <c r="C18">
        <f>'Non-residents'!C18+Residents!C18</f>
        <v>4401365</v>
      </c>
    </row>
    <row r="19" spans="1:3" x14ac:dyDescent="0.3">
      <c r="A19">
        <v>2007</v>
      </c>
      <c r="B19">
        <f>'Non-residents'!B19+Residents!B19</f>
        <v>4618419</v>
      </c>
      <c r="C19">
        <f>'Non-residents'!C19+Residents!C19</f>
        <v>4588599</v>
      </c>
    </row>
    <row r="20" spans="1:3" x14ac:dyDescent="0.3">
      <c r="A20">
        <v>2008</v>
      </c>
      <c r="B20">
        <f>'Non-residents'!B20+Residents!B20</f>
        <v>4749896</v>
      </c>
      <c r="C20">
        <f>'Non-residents'!C20+Residents!C20</f>
        <v>4839396</v>
      </c>
    </row>
    <row r="21" spans="1:3" x14ac:dyDescent="0.3">
      <c r="A21">
        <v>2009</v>
      </c>
      <c r="B21">
        <f>'Non-residents'!B21+Residents!B21</f>
        <v>4889999</v>
      </c>
      <c r="C21">
        <f>'Non-residents'!C21+Residents!C21</f>
        <v>4987573</v>
      </c>
    </row>
    <row r="22" spans="1:3" x14ac:dyDescent="0.3">
      <c r="A22">
        <v>2010</v>
      </c>
      <c r="B22">
        <f>'Non-residents'!B22+Residents!B22</f>
        <v>5034163</v>
      </c>
      <c r="C22">
        <f>'Non-residents'!C22+Residents!C22</f>
        <v>5076732</v>
      </c>
    </row>
    <row r="23" spans="1:3" x14ac:dyDescent="0.3">
      <c r="A23">
        <v>2011</v>
      </c>
      <c r="B23">
        <f>'Non-residents'!B23+Residents!B23</f>
        <v>5176969</v>
      </c>
      <c r="C23">
        <f>'Non-residents'!C23+Residents!C23</f>
        <v>5183688</v>
      </c>
    </row>
    <row r="24" spans="1:3" x14ac:dyDescent="0.3">
      <c r="A24">
        <v>2012</v>
      </c>
      <c r="B24">
        <f>'Non-residents'!B24+Residents!B24</f>
        <v>5311748</v>
      </c>
      <c r="C24">
        <f>'Non-residents'!C24+Residents!C24</f>
        <v>5312437</v>
      </c>
    </row>
    <row r="25" spans="1:3" x14ac:dyDescent="0.3">
      <c r="A25">
        <v>2013</v>
      </c>
      <c r="B25">
        <f>'Non-residents'!B25+Residents!B25</f>
        <v>5432602</v>
      </c>
      <c r="C25">
        <f>'Non-residents'!C25+Residents!C25</f>
        <v>5399162</v>
      </c>
    </row>
    <row r="26" spans="1:3" x14ac:dyDescent="0.3">
      <c r="A26">
        <v>2014</v>
      </c>
      <c r="B26">
        <f>'Non-residents'!B26+Residents!B26</f>
        <v>5534418</v>
      </c>
      <c r="C26">
        <f>'Non-residents'!C26+Residents!C26</f>
        <v>5469724</v>
      </c>
    </row>
    <row r="27" spans="1:3" x14ac:dyDescent="0.3">
      <c r="A27">
        <v>2015</v>
      </c>
      <c r="B27">
        <f>'Non-residents'!B27+Residents!B27</f>
        <v>5613523</v>
      </c>
      <c r="C27">
        <f>'Non-residents'!C27+Residents!C27</f>
        <v>5535002</v>
      </c>
    </row>
    <row r="28" spans="1:3" x14ac:dyDescent="0.3">
      <c r="A28">
        <v>2016</v>
      </c>
      <c r="B28">
        <f>'Non-residents'!B28+Residents!B28</f>
        <v>5670137</v>
      </c>
      <c r="C28">
        <f>'Non-residents'!C28+Residents!C28</f>
        <v>5607283</v>
      </c>
    </row>
    <row r="29" spans="1:3" x14ac:dyDescent="0.3">
      <c r="A29">
        <v>2017</v>
      </c>
      <c r="B29">
        <f>'Non-residents'!B29+Residents!B29</f>
        <v>5704311</v>
      </c>
      <c r="C29">
        <f>'Non-residents'!C29+Residents!C29</f>
        <v>5612253</v>
      </c>
    </row>
    <row r="30" spans="1:3" x14ac:dyDescent="0.3">
      <c r="A30">
        <v>2018</v>
      </c>
      <c r="B30">
        <f>'Non-residents'!B30+Residents!B30</f>
        <v>5718408</v>
      </c>
      <c r="C30">
        <f>'Non-residents'!C30+Residents!C30</f>
        <v>5638676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0"/>
  <sheetViews>
    <sheetView workbookViewId="0">
      <selection activeCell="U3" sqref="U3"/>
    </sheetView>
  </sheetViews>
  <sheetFormatPr defaultRowHeight="14.4" x14ac:dyDescent="0.3"/>
  <sheetData>
    <row r="1" spans="1:20" x14ac:dyDescent="0.3">
      <c r="A1" t="s">
        <v>45</v>
      </c>
      <c r="B1" t="s">
        <v>46</v>
      </c>
      <c r="C1" t="s">
        <v>47</v>
      </c>
    </row>
    <row r="2" spans="1:20" x14ac:dyDescent="0.3">
      <c r="A2">
        <v>1990</v>
      </c>
      <c r="B2">
        <f>Sheet4!D2</f>
        <v>1386293</v>
      </c>
      <c r="C2">
        <v>1386291</v>
      </c>
    </row>
    <row r="3" spans="1:20" x14ac:dyDescent="0.3">
      <c r="A3">
        <v>1991</v>
      </c>
      <c r="B3">
        <f>Sheet4!D3</f>
        <v>1411319</v>
      </c>
      <c r="C3">
        <v>1414309</v>
      </c>
      <c r="T3" t="s">
        <v>266</v>
      </c>
    </row>
    <row r="4" spans="1:20" x14ac:dyDescent="0.3">
      <c r="A4">
        <v>1992</v>
      </c>
      <c r="B4">
        <f>Sheet4!D4</f>
        <v>1438645</v>
      </c>
      <c r="C4">
        <v>1439064</v>
      </c>
    </row>
    <row r="5" spans="1:20" x14ac:dyDescent="0.3">
      <c r="A5">
        <v>1993</v>
      </c>
      <c r="B5">
        <f>Sheet4!D5</f>
        <v>1467789</v>
      </c>
      <c r="C5">
        <v>1464223</v>
      </c>
    </row>
    <row r="6" spans="1:20" x14ac:dyDescent="0.3">
      <c r="A6">
        <v>1994</v>
      </c>
      <c r="B6">
        <f>Sheet4!D6</f>
        <v>1497402</v>
      </c>
      <c r="C6">
        <v>1489181</v>
      </c>
    </row>
    <row r="7" spans="1:20" x14ac:dyDescent="0.3">
      <c r="A7">
        <v>1995</v>
      </c>
      <c r="B7">
        <f>Sheet4!D7</f>
        <v>1527705</v>
      </c>
      <c r="C7">
        <v>1514020</v>
      </c>
    </row>
    <row r="8" spans="1:20" x14ac:dyDescent="0.3">
      <c r="A8">
        <v>1996</v>
      </c>
      <c r="B8">
        <f>Sheet4!D8</f>
        <v>1557819</v>
      </c>
      <c r="C8">
        <v>1540018</v>
      </c>
    </row>
    <row r="9" spans="1:20" x14ac:dyDescent="0.3">
      <c r="A9">
        <v>1997</v>
      </c>
      <c r="B9">
        <f>Sheet4!D9</f>
        <v>1587484</v>
      </c>
      <c r="C9">
        <v>1565751</v>
      </c>
    </row>
    <row r="10" spans="1:20" x14ac:dyDescent="0.3">
      <c r="A10">
        <v>1998</v>
      </c>
      <c r="B10">
        <f>Sheet4!D10</f>
        <v>1615869</v>
      </c>
      <c r="C10">
        <v>1591816</v>
      </c>
    </row>
    <row r="11" spans="1:20" x14ac:dyDescent="0.3">
      <c r="A11">
        <v>1999</v>
      </c>
      <c r="B11">
        <f>Sheet4!D11</f>
        <v>1643482</v>
      </c>
      <c r="C11">
        <v>1614805</v>
      </c>
    </row>
    <row r="12" spans="1:20" x14ac:dyDescent="0.3">
      <c r="A12">
        <v>2000</v>
      </c>
      <c r="B12">
        <f>Sheet4!D12</f>
        <v>1669444</v>
      </c>
      <c r="C12">
        <v>1634667</v>
      </c>
    </row>
    <row r="13" spans="1:20" x14ac:dyDescent="0.3">
      <c r="A13">
        <v>2001</v>
      </c>
      <c r="B13">
        <f>Sheet4!D13</f>
        <v>1694024</v>
      </c>
      <c r="C13">
        <v>1658558</v>
      </c>
    </row>
    <row r="14" spans="1:20" x14ac:dyDescent="0.3">
      <c r="A14">
        <v>2002</v>
      </c>
      <c r="B14">
        <f>Sheet4!D14</f>
        <v>1717173</v>
      </c>
      <c r="C14">
        <v>1684295</v>
      </c>
    </row>
    <row r="15" spans="1:20" x14ac:dyDescent="0.3">
      <c r="A15">
        <v>2003</v>
      </c>
      <c r="B15">
        <f>Sheet4!D15</f>
        <v>1738572</v>
      </c>
      <c r="C15">
        <v>1673401</v>
      </c>
    </row>
    <row r="16" spans="1:20" x14ac:dyDescent="0.3">
      <c r="A16">
        <v>2004</v>
      </c>
      <c r="B16">
        <f>Sheet4!D16</f>
        <v>1759354</v>
      </c>
      <c r="C16">
        <v>1695031</v>
      </c>
    </row>
    <row r="17" spans="1:3" x14ac:dyDescent="0.3">
      <c r="A17">
        <v>2005</v>
      </c>
      <c r="B17">
        <f>Sheet4!D17</f>
        <v>1779042</v>
      </c>
      <c r="C17">
        <v>1721139</v>
      </c>
    </row>
    <row r="18" spans="1:3" x14ac:dyDescent="0.3">
      <c r="A18">
        <v>2006</v>
      </c>
      <c r="B18">
        <f>Sheet4!D18</f>
        <v>1797548</v>
      </c>
      <c r="C18">
        <v>1748242</v>
      </c>
    </row>
    <row r="19" spans="1:3" x14ac:dyDescent="0.3">
      <c r="A19">
        <v>2007</v>
      </c>
      <c r="B19">
        <f>Sheet4!D19</f>
        <v>1815737</v>
      </c>
      <c r="C19">
        <v>1775477</v>
      </c>
    </row>
    <row r="20" spans="1:3" x14ac:dyDescent="0.3">
      <c r="A20">
        <v>2008</v>
      </c>
      <c r="B20">
        <f>Sheet4!D20</f>
        <v>1833570</v>
      </c>
      <c r="C20">
        <v>1802992</v>
      </c>
    </row>
    <row r="21" spans="1:3" x14ac:dyDescent="0.3">
      <c r="A21">
        <v>2009</v>
      </c>
      <c r="B21">
        <f>Sheet4!D21</f>
        <v>1850796</v>
      </c>
      <c r="C21">
        <v>1844732</v>
      </c>
    </row>
    <row r="22" spans="1:3" x14ac:dyDescent="0.3">
      <c r="A22">
        <v>2010</v>
      </c>
      <c r="B22">
        <f>Sheet4!D22</f>
        <v>1868161</v>
      </c>
      <c r="C22">
        <v>1861133</v>
      </c>
    </row>
    <row r="23" spans="1:3" x14ac:dyDescent="0.3">
      <c r="A23">
        <v>2011</v>
      </c>
      <c r="B23">
        <f>Sheet4!D23</f>
        <v>1885275</v>
      </c>
      <c r="C23">
        <v>1868170</v>
      </c>
    </row>
    <row r="24" spans="1:3" x14ac:dyDescent="0.3">
      <c r="A24">
        <v>2012</v>
      </c>
      <c r="B24">
        <f>Sheet4!D24</f>
        <v>1902236</v>
      </c>
      <c r="C24">
        <v>1880046</v>
      </c>
    </row>
    <row r="25" spans="1:3" x14ac:dyDescent="0.3">
      <c r="A25">
        <v>2013</v>
      </c>
      <c r="B25">
        <f>Sheet4!D25</f>
        <v>1918852</v>
      </c>
      <c r="C25">
        <v>1891504</v>
      </c>
    </row>
    <row r="26" spans="1:3" x14ac:dyDescent="0.3">
      <c r="A26">
        <v>2014</v>
      </c>
      <c r="B26">
        <f>Sheet4!D26</f>
        <v>1934916</v>
      </c>
      <c r="C26">
        <v>1902410</v>
      </c>
    </row>
    <row r="27" spans="1:3" x14ac:dyDescent="0.3">
      <c r="A27">
        <v>2015</v>
      </c>
      <c r="B27">
        <f>Sheet4!D27</f>
        <v>1949990</v>
      </c>
      <c r="C27">
        <v>1916628</v>
      </c>
    </row>
    <row r="28" spans="1:3" x14ac:dyDescent="0.3">
      <c r="A28">
        <v>2016</v>
      </c>
      <c r="B28">
        <f>Sheet4!D28</f>
        <v>1964930</v>
      </c>
      <c r="C28">
        <v>1929526</v>
      </c>
    </row>
    <row r="29" spans="1:3" x14ac:dyDescent="0.3">
      <c r="A29">
        <v>2017</v>
      </c>
      <c r="B29">
        <f>Sheet4!D29</f>
        <v>1979370</v>
      </c>
      <c r="C29">
        <v>1943545</v>
      </c>
    </row>
    <row r="30" spans="1:3" x14ac:dyDescent="0.3">
      <c r="A30">
        <v>2018</v>
      </c>
      <c r="B30">
        <f>Sheet4!D30</f>
        <v>1992306</v>
      </c>
      <c r="C30">
        <v>1955838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0"/>
  <sheetViews>
    <sheetView workbookViewId="0">
      <selection activeCell="I32" sqref="I32:I33"/>
    </sheetView>
  </sheetViews>
  <sheetFormatPr defaultRowHeight="14.4" x14ac:dyDescent="0.3"/>
  <sheetData>
    <row r="1" spans="1:3" x14ac:dyDescent="0.3">
      <c r="A1" t="s">
        <v>45</v>
      </c>
      <c r="B1" t="s">
        <v>46</v>
      </c>
      <c r="C1" t="s">
        <v>47</v>
      </c>
    </row>
    <row r="2" spans="1:3" x14ac:dyDescent="0.3">
      <c r="A2">
        <v>1990</v>
      </c>
      <c r="B2">
        <f>Sheet4!E2</f>
        <v>1349569</v>
      </c>
      <c r="C2">
        <v>1349577</v>
      </c>
    </row>
    <row r="3" spans="1:3" x14ac:dyDescent="0.3">
      <c r="A3">
        <v>1991</v>
      </c>
      <c r="B3">
        <f>Sheet4!E3</f>
        <v>1379031</v>
      </c>
      <c r="C3">
        <v>1380398</v>
      </c>
    </row>
    <row r="4" spans="1:3" x14ac:dyDescent="0.3">
      <c r="A4">
        <v>1992</v>
      </c>
      <c r="B4">
        <f>Sheet4!E4</f>
        <v>1410580</v>
      </c>
      <c r="C4">
        <v>1410689</v>
      </c>
    </row>
    <row r="5" spans="1:3" x14ac:dyDescent="0.3">
      <c r="A5">
        <v>1993</v>
      </c>
      <c r="B5">
        <f>Sheet4!E5</f>
        <v>1443090</v>
      </c>
      <c r="C5">
        <v>1440326</v>
      </c>
    </row>
    <row r="6" spans="1:3" x14ac:dyDescent="0.3">
      <c r="A6">
        <v>1994</v>
      </c>
      <c r="B6">
        <f>Sheet4!E6</f>
        <v>1475914</v>
      </c>
      <c r="C6">
        <v>1470169</v>
      </c>
    </row>
    <row r="7" spans="1:3" x14ac:dyDescent="0.3">
      <c r="A7">
        <v>1995</v>
      </c>
      <c r="B7">
        <f>Sheet4!E7</f>
        <v>1509146</v>
      </c>
      <c r="C7">
        <v>1499504</v>
      </c>
    </row>
    <row r="8" spans="1:3" x14ac:dyDescent="0.3">
      <c r="A8">
        <v>1996</v>
      </c>
      <c r="B8">
        <f>Sheet4!E8</f>
        <v>1542201</v>
      </c>
      <c r="C8">
        <v>1528112</v>
      </c>
    </row>
    <row r="9" spans="1:3" x14ac:dyDescent="0.3">
      <c r="A9">
        <v>1997</v>
      </c>
      <c r="B9">
        <f>Sheet4!E9</f>
        <v>1574365</v>
      </c>
      <c r="C9">
        <v>1557652</v>
      </c>
    </row>
    <row r="10" spans="1:3" x14ac:dyDescent="0.3">
      <c r="A10">
        <v>1998</v>
      </c>
      <c r="B10">
        <f>Sheet4!E10</f>
        <v>1605247</v>
      </c>
      <c r="C10">
        <v>1588202</v>
      </c>
    </row>
    <row r="11" spans="1:3" x14ac:dyDescent="0.3">
      <c r="A11">
        <v>1999</v>
      </c>
      <c r="B11">
        <f>Sheet4!E11</f>
        <v>1634602</v>
      </c>
      <c r="C11">
        <v>1614877</v>
      </c>
    </row>
    <row r="12" spans="1:3" x14ac:dyDescent="0.3">
      <c r="A12">
        <v>2000</v>
      </c>
      <c r="B12">
        <f>Sheet4!E12</f>
        <v>1662284</v>
      </c>
      <c r="C12">
        <v>1638696</v>
      </c>
    </row>
    <row r="13" spans="1:3" x14ac:dyDescent="0.3">
      <c r="A13">
        <v>2001</v>
      </c>
      <c r="B13">
        <f>Sheet4!E13</f>
        <v>1689038</v>
      </c>
      <c r="C13">
        <v>1667344</v>
      </c>
    </row>
    <row r="14" spans="1:3" x14ac:dyDescent="0.3">
      <c r="A14">
        <v>2002</v>
      </c>
      <c r="B14">
        <f>Sheet4!E14</f>
        <v>1713715</v>
      </c>
      <c r="C14">
        <v>1698649</v>
      </c>
    </row>
    <row r="15" spans="1:3" x14ac:dyDescent="0.3">
      <c r="A15">
        <v>2003</v>
      </c>
      <c r="B15">
        <f>Sheet4!E15</f>
        <v>1737299</v>
      </c>
      <c r="C15">
        <v>1693490</v>
      </c>
    </row>
    <row r="16" spans="1:3" x14ac:dyDescent="0.3">
      <c r="A16">
        <v>2004</v>
      </c>
      <c r="B16">
        <f>Sheet4!E16</f>
        <v>1759914</v>
      </c>
      <c r="C16">
        <v>1718235</v>
      </c>
    </row>
    <row r="17" spans="1:3" x14ac:dyDescent="0.3">
      <c r="A17">
        <v>2005</v>
      </c>
      <c r="B17">
        <f>Sheet4!E17</f>
        <v>1781061</v>
      </c>
      <c r="C17">
        <v>1746675</v>
      </c>
    </row>
    <row r="18" spans="1:3" x14ac:dyDescent="0.3">
      <c r="A18">
        <v>2006</v>
      </c>
      <c r="B18">
        <f>Sheet4!E18</f>
        <v>1801513</v>
      </c>
      <c r="C18">
        <v>1777652</v>
      </c>
    </row>
    <row r="19" spans="1:3" x14ac:dyDescent="0.3">
      <c r="A19">
        <v>2007</v>
      </c>
      <c r="B19">
        <f>Sheet4!E19</f>
        <v>1821060</v>
      </c>
      <c r="C19">
        <v>1807605</v>
      </c>
    </row>
    <row r="20" spans="1:3" x14ac:dyDescent="0.3">
      <c r="A20">
        <v>2008</v>
      </c>
      <c r="B20">
        <f>Sheet4!E20</f>
        <v>1840404</v>
      </c>
      <c r="C20">
        <v>1839667</v>
      </c>
    </row>
    <row r="21" spans="1:3" x14ac:dyDescent="0.3">
      <c r="A21">
        <v>2009</v>
      </c>
      <c r="B21">
        <f>Sheet4!E21</f>
        <v>1859593</v>
      </c>
      <c r="C21">
        <v>1889144</v>
      </c>
    </row>
    <row r="22" spans="1:3" x14ac:dyDescent="0.3">
      <c r="A22">
        <v>2010</v>
      </c>
      <c r="B22">
        <f>Sheet4!E22</f>
        <v>1878259</v>
      </c>
      <c r="C22">
        <v>1910588</v>
      </c>
    </row>
    <row r="23" spans="1:3" x14ac:dyDescent="0.3">
      <c r="A23">
        <v>2011</v>
      </c>
      <c r="B23">
        <f>Sheet4!E23</f>
        <v>1897194</v>
      </c>
      <c r="C23">
        <v>1921081</v>
      </c>
    </row>
    <row r="24" spans="1:3" x14ac:dyDescent="0.3">
      <c r="A24">
        <v>2012</v>
      </c>
      <c r="B24">
        <f>Sheet4!E24</f>
        <v>1915747</v>
      </c>
      <c r="C24">
        <v>1938159</v>
      </c>
    </row>
    <row r="25" spans="1:3" x14ac:dyDescent="0.3">
      <c r="A25">
        <v>2013</v>
      </c>
      <c r="B25">
        <f>Sheet4!E25</f>
        <v>1933976</v>
      </c>
      <c r="C25">
        <v>1953247</v>
      </c>
    </row>
    <row r="26" spans="1:3" x14ac:dyDescent="0.3">
      <c r="A26">
        <v>2014</v>
      </c>
      <c r="B26">
        <f>Sheet4!E26</f>
        <v>1951741</v>
      </c>
      <c r="C26">
        <v>1968329</v>
      </c>
    </row>
    <row r="27" spans="1:3" x14ac:dyDescent="0.3">
      <c r="A27">
        <v>2015</v>
      </c>
      <c r="B27">
        <f>Sheet4!E27</f>
        <v>1968994</v>
      </c>
      <c r="C27">
        <v>1986062</v>
      </c>
    </row>
    <row r="28" spans="1:3" x14ac:dyDescent="0.3">
      <c r="A28">
        <v>2016</v>
      </c>
      <c r="B28">
        <f>Sheet4!E28</f>
        <v>1986265</v>
      </c>
      <c r="C28">
        <v>2004033</v>
      </c>
    </row>
    <row r="29" spans="1:3" x14ac:dyDescent="0.3">
      <c r="A29">
        <v>2017</v>
      </c>
      <c r="B29">
        <f>Sheet4!E29</f>
        <v>2002869</v>
      </c>
      <c r="C29">
        <v>2022251</v>
      </c>
    </row>
    <row r="30" spans="1:3" x14ac:dyDescent="0.3">
      <c r="A30">
        <v>2018</v>
      </c>
      <c r="B30">
        <f>Sheet4!E30</f>
        <v>2018782</v>
      </c>
      <c r="C30">
        <v>2038445</v>
      </c>
    </row>
    <row r="40" spans="7:35" x14ac:dyDescent="0.3">
      <c r="G40">
        <v>1349577</v>
      </c>
      <c r="H40">
        <v>1380398</v>
      </c>
      <c r="I40">
        <v>1410689</v>
      </c>
      <c r="J40">
        <v>1440326</v>
      </c>
      <c r="K40">
        <v>1470169</v>
      </c>
      <c r="L40">
        <v>1499504</v>
      </c>
      <c r="M40">
        <v>1528112</v>
      </c>
      <c r="N40">
        <v>1557652</v>
      </c>
      <c r="O40">
        <v>1588202</v>
      </c>
      <c r="P40">
        <v>1614877</v>
      </c>
      <c r="Q40">
        <v>1638696</v>
      </c>
      <c r="R40">
        <v>1667344</v>
      </c>
      <c r="S40">
        <v>1698649</v>
      </c>
      <c r="T40">
        <v>1693490</v>
      </c>
      <c r="U40">
        <v>1718235</v>
      </c>
      <c r="V40">
        <v>1746675</v>
      </c>
      <c r="W40">
        <v>1777652</v>
      </c>
      <c r="X40">
        <v>1807605</v>
      </c>
      <c r="Y40">
        <v>1839667</v>
      </c>
      <c r="Z40">
        <v>1889144</v>
      </c>
      <c r="AA40">
        <v>1910588</v>
      </c>
      <c r="AB40">
        <v>1921081</v>
      </c>
      <c r="AC40">
        <v>1938159</v>
      </c>
      <c r="AD40">
        <v>1953247</v>
      </c>
      <c r="AE40">
        <v>1968329</v>
      </c>
      <c r="AF40">
        <v>1986062</v>
      </c>
      <c r="AG40">
        <v>2004033</v>
      </c>
      <c r="AH40">
        <v>2022251</v>
      </c>
      <c r="AI40">
        <v>2038445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workbookViewId="0">
      <selection activeCell="K32" sqref="K32"/>
    </sheetView>
  </sheetViews>
  <sheetFormatPr defaultRowHeight="14.4" x14ac:dyDescent="0.3"/>
  <sheetData>
    <row r="1" spans="1:3" x14ac:dyDescent="0.3">
      <c r="A1" t="s">
        <v>45</v>
      </c>
      <c r="B1" t="s">
        <v>46</v>
      </c>
      <c r="C1" t="s">
        <v>47</v>
      </c>
    </row>
    <row r="2" spans="1:3" x14ac:dyDescent="0.3">
      <c r="A2">
        <v>1990</v>
      </c>
      <c r="B2">
        <f>Sheet4!DB2</f>
        <v>30.1919998153348</v>
      </c>
      <c r="C2">
        <v>30.164703514630045</v>
      </c>
    </row>
    <row r="3" spans="1:3" x14ac:dyDescent="0.3">
      <c r="A3">
        <v>1991</v>
      </c>
      <c r="B3">
        <f>Sheet4!DB3</f>
        <v>30.449647457449299</v>
      </c>
      <c r="C3">
        <v>30.363228969058387</v>
      </c>
    </row>
    <row r="4" spans="1:3" x14ac:dyDescent="0.3">
      <c r="A4">
        <v>1992</v>
      </c>
      <c r="B4">
        <f>Sheet4!DB4</f>
        <v>30.704028443431099</v>
      </c>
      <c r="C4">
        <v>30.606236414780717</v>
      </c>
    </row>
    <row r="5" spans="1:3" x14ac:dyDescent="0.3">
      <c r="A5">
        <v>1993</v>
      </c>
      <c r="B5">
        <f>Sheet4!DB5</f>
        <v>30.955402990484298</v>
      </c>
      <c r="C5">
        <v>30.845657389618932</v>
      </c>
    </row>
    <row r="6" spans="1:3" x14ac:dyDescent="0.3">
      <c r="A6">
        <v>1994</v>
      </c>
      <c r="B6">
        <f>Sheet4!DB6</f>
        <v>31.212742469957899</v>
      </c>
      <c r="C6">
        <v>31.103282273947894</v>
      </c>
    </row>
    <row r="7" spans="1:3" x14ac:dyDescent="0.3">
      <c r="A7">
        <v>1995</v>
      </c>
      <c r="B7">
        <f>Sheet4!DB7</f>
        <v>31.467138616421298</v>
      </c>
      <c r="C7">
        <v>31.342934703636676</v>
      </c>
    </row>
    <row r="8" spans="1:3" x14ac:dyDescent="0.3">
      <c r="A8">
        <v>1996</v>
      </c>
      <c r="B8">
        <f>Sheet4!DB8</f>
        <v>31.742882838121702</v>
      </c>
      <c r="C8">
        <v>31.591553475348988</v>
      </c>
    </row>
    <row r="9" spans="1:3" x14ac:dyDescent="0.3">
      <c r="A9">
        <v>1997</v>
      </c>
      <c r="B9">
        <f>Sheet4!DB9</f>
        <v>32.0277174447112</v>
      </c>
      <c r="C9">
        <v>31.854188181901208</v>
      </c>
    </row>
    <row r="10" spans="1:3" x14ac:dyDescent="0.3">
      <c r="A10">
        <v>1998</v>
      </c>
      <c r="B10">
        <f>Sheet4!DB10</f>
        <v>32.329475966182898</v>
      </c>
      <c r="C10">
        <v>32.141765756846269</v>
      </c>
    </row>
    <row r="11" spans="1:3" x14ac:dyDescent="0.3">
      <c r="A11">
        <v>1999</v>
      </c>
      <c r="B11">
        <f>Sheet4!DB11</f>
        <v>32.642217560034098</v>
      </c>
      <c r="C11">
        <v>32.479413923043339</v>
      </c>
    </row>
    <row r="12" spans="1:3" x14ac:dyDescent="0.3">
      <c r="A12">
        <v>2000</v>
      </c>
      <c r="B12">
        <f>Sheet4!DB12</f>
        <v>32.9811871497336</v>
      </c>
      <c r="C12">
        <v>32.810834867284896</v>
      </c>
    </row>
    <row r="13" spans="1:3" x14ac:dyDescent="0.3">
      <c r="A13">
        <v>2001</v>
      </c>
      <c r="B13">
        <f>Sheet4!DB13</f>
        <v>33.330750139618701</v>
      </c>
      <c r="C13">
        <v>33.116735139802167</v>
      </c>
    </row>
    <row r="14" spans="1:3" x14ac:dyDescent="0.3">
      <c r="A14">
        <v>2002</v>
      </c>
      <c r="B14">
        <f>Sheet4!DB14</f>
        <v>33.695622039429402</v>
      </c>
      <c r="C14">
        <v>33.448891079056814</v>
      </c>
    </row>
    <row r="15" spans="1:3" x14ac:dyDescent="0.3">
      <c r="A15">
        <v>2003</v>
      </c>
      <c r="B15">
        <f>Sheet4!DB15</f>
        <v>34.073748890424199</v>
      </c>
      <c r="C15">
        <v>33.61786087136317</v>
      </c>
    </row>
    <row r="16" spans="1:3" x14ac:dyDescent="0.3">
      <c r="A16">
        <v>2004</v>
      </c>
      <c r="B16">
        <f>Sheet4!DB16</f>
        <v>34.465811069326101</v>
      </c>
      <c r="C16">
        <v>34.056732295751523</v>
      </c>
    </row>
    <row r="17" spans="1:3" x14ac:dyDescent="0.3">
      <c r="A17">
        <v>2005</v>
      </c>
      <c r="B17">
        <f>Sheet4!DB17</f>
        <v>34.862553931231098</v>
      </c>
      <c r="C17">
        <v>34.412579692866174</v>
      </c>
    </row>
    <row r="18" spans="1:3" x14ac:dyDescent="0.3">
      <c r="A18">
        <v>2006</v>
      </c>
      <c r="B18">
        <f>Sheet4!DB18</f>
        <v>35.264705882352899</v>
      </c>
      <c r="C18">
        <v>34.779838260378142</v>
      </c>
    </row>
    <row r="19" spans="1:3" x14ac:dyDescent="0.3">
      <c r="A19">
        <v>2007</v>
      </c>
      <c r="B19">
        <f>Sheet4!DB19</f>
        <v>35.667508611804102</v>
      </c>
      <c r="C19">
        <v>35.134450629323837</v>
      </c>
    </row>
    <row r="20" spans="1:3" x14ac:dyDescent="0.3">
      <c r="A20">
        <v>2008</v>
      </c>
      <c r="B20">
        <f>Sheet4!DB20</f>
        <v>36.0644201131459</v>
      </c>
      <c r="C20">
        <v>35.472677638059402</v>
      </c>
    </row>
    <row r="21" spans="1:3" x14ac:dyDescent="0.3">
      <c r="A21">
        <v>2009</v>
      </c>
      <c r="B21">
        <f>Sheet4!DB21</f>
        <v>36.459837196594698</v>
      </c>
      <c r="C21">
        <v>35.791165871248509</v>
      </c>
    </row>
    <row r="22" spans="1:3" x14ac:dyDescent="0.3">
      <c r="A22">
        <v>2010</v>
      </c>
      <c r="B22">
        <f>Sheet4!DB22</f>
        <v>36.847960024031799</v>
      </c>
      <c r="C22">
        <v>36.192416662323431</v>
      </c>
    </row>
    <row r="23" spans="1:3" x14ac:dyDescent="0.3">
      <c r="A23">
        <v>2011</v>
      </c>
      <c r="B23">
        <f>Sheet4!DB23</f>
        <v>37.225109001505302</v>
      </c>
      <c r="C23">
        <v>36.668175273128249</v>
      </c>
    </row>
    <row r="24" spans="1:3" x14ac:dyDescent="0.3">
      <c r="A24">
        <v>2012</v>
      </c>
      <c r="B24">
        <f>Sheet4!DB24</f>
        <v>37.594631862156298</v>
      </c>
      <c r="C24">
        <v>37.070979646242698</v>
      </c>
    </row>
    <row r="25" spans="1:3" x14ac:dyDescent="0.3">
      <c r="A25">
        <v>2013</v>
      </c>
      <c r="B25">
        <f>Sheet4!DB25</f>
        <v>37.954896469170102</v>
      </c>
      <c r="C25">
        <v>37.484027525186306</v>
      </c>
    </row>
    <row r="26" spans="1:3" x14ac:dyDescent="0.3">
      <c r="A26">
        <v>2014</v>
      </c>
      <c r="B26">
        <f>Sheet4!DB26</f>
        <v>38.307063596044401</v>
      </c>
      <c r="C26">
        <v>37.890057873959869</v>
      </c>
    </row>
    <row r="27" spans="1:3" x14ac:dyDescent="0.3">
      <c r="A27">
        <v>2015</v>
      </c>
      <c r="B27">
        <f>Sheet4!DB27</f>
        <v>38.658436515909102</v>
      </c>
      <c r="C27">
        <v>38.239789359228816</v>
      </c>
    </row>
    <row r="28" spans="1:3" x14ac:dyDescent="0.3">
      <c r="A28">
        <v>2016</v>
      </c>
      <c r="B28">
        <f>Sheet4!DB28</f>
        <v>38.994089100860002</v>
      </c>
      <c r="C28">
        <v>38.59660973731372</v>
      </c>
    </row>
    <row r="29" spans="1:3" x14ac:dyDescent="0.3">
      <c r="A29">
        <v>2017</v>
      </c>
      <c r="B29">
        <f>Sheet4!DB29</f>
        <v>39.325806291820797</v>
      </c>
      <c r="C29">
        <v>38.932587102433956</v>
      </c>
    </row>
    <row r="30" spans="1:3" x14ac:dyDescent="0.3">
      <c r="A30">
        <v>2018</v>
      </c>
      <c r="B30">
        <f>Sheet4!DB30</f>
        <v>39.660430544060802</v>
      </c>
      <c r="C30">
        <v>39.30658929829567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tabSelected="1" workbookViewId="0">
      <selection activeCell="D17" sqref="D17"/>
    </sheetView>
  </sheetViews>
  <sheetFormatPr defaultRowHeight="14.4" x14ac:dyDescent="0.3"/>
  <sheetData>
    <row r="1" spans="1:3" x14ac:dyDescent="0.3">
      <c r="A1" t="s">
        <v>45</v>
      </c>
      <c r="B1" t="s">
        <v>46</v>
      </c>
      <c r="C1" t="s">
        <v>47</v>
      </c>
    </row>
    <row r="2" spans="1:3" x14ac:dyDescent="0.3">
      <c r="A2">
        <v>1990</v>
      </c>
      <c r="B2">
        <f>Sheet4!GY2</f>
        <v>31.205501904682102</v>
      </c>
      <c r="C2">
        <v>31.185489231070179</v>
      </c>
    </row>
    <row r="3" spans="1:3" x14ac:dyDescent="0.3">
      <c r="A3">
        <v>1991</v>
      </c>
      <c r="B3">
        <f>Sheet4!GY3</f>
        <v>31.404212813199901</v>
      </c>
      <c r="C3">
        <v>31.384137763166855</v>
      </c>
    </row>
    <row r="4" spans="1:3" x14ac:dyDescent="0.3">
      <c r="A4">
        <v>1992</v>
      </c>
      <c r="B4">
        <f>Sheet4!GY4</f>
        <v>31.614126813083899</v>
      </c>
      <c r="C4">
        <v>31.612224948234516</v>
      </c>
    </row>
    <row r="5" spans="1:3" x14ac:dyDescent="0.3">
      <c r="A5">
        <v>1993</v>
      </c>
      <c r="B5">
        <f>Sheet4!GY5</f>
        <v>31.843841925203499</v>
      </c>
      <c r="C5">
        <v>31.858962484881896</v>
      </c>
    </row>
    <row r="6" spans="1:3" x14ac:dyDescent="0.3">
      <c r="A6">
        <v>1994</v>
      </c>
      <c r="B6">
        <f>Sheet4!GY6</f>
        <v>32.083298270291003</v>
      </c>
      <c r="C6">
        <v>32.11360258582517</v>
      </c>
    </row>
    <row r="7" spans="1:3" x14ac:dyDescent="0.3">
      <c r="A7">
        <v>1995</v>
      </c>
      <c r="B7">
        <f>Sheet4!GY7</f>
        <v>32.333902971550103</v>
      </c>
      <c r="C7">
        <v>32.368041699121846</v>
      </c>
    </row>
    <row r="8" spans="1:3" x14ac:dyDescent="0.3">
      <c r="A8">
        <v>1996</v>
      </c>
      <c r="B8">
        <f>Sheet4!GY8</f>
        <v>32.6032187783685</v>
      </c>
      <c r="C8">
        <v>32.625916163213169</v>
      </c>
    </row>
    <row r="9" spans="1:3" x14ac:dyDescent="0.3">
      <c r="A9">
        <v>1997</v>
      </c>
      <c r="B9">
        <f>Sheet4!GY9</f>
        <v>32.8918629999161</v>
      </c>
      <c r="C9">
        <v>32.89752396555842</v>
      </c>
    </row>
    <row r="10" spans="1:3" x14ac:dyDescent="0.3">
      <c r="A10">
        <v>1998</v>
      </c>
      <c r="B10">
        <f>Sheet4!GY10</f>
        <v>33.1944462094906</v>
      </c>
      <c r="C10">
        <v>33.178889713021391</v>
      </c>
    </row>
    <row r="11" spans="1:3" x14ac:dyDescent="0.3">
      <c r="A11">
        <v>1999</v>
      </c>
      <c r="B11">
        <f>Sheet4!GY11</f>
        <v>33.516754853324997</v>
      </c>
      <c r="C11">
        <v>33.52742902400616</v>
      </c>
    </row>
    <row r="12" spans="1:3" x14ac:dyDescent="0.3">
      <c r="A12">
        <v>2000</v>
      </c>
      <c r="B12">
        <f>Sheet4!GY12</f>
        <v>33.862125763182298</v>
      </c>
      <c r="C12">
        <v>33.867201116009312</v>
      </c>
    </row>
    <row r="13" spans="1:3" x14ac:dyDescent="0.3">
      <c r="A13">
        <v>2001</v>
      </c>
      <c r="B13">
        <f>Sheet4!GY13</f>
        <v>34.205740841957699</v>
      </c>
      <c r="C13">
        <v>34.189470199311003</v>
      </c>
    </row>
    <row r="14" spans="1:3" x14ac:dyDescent="0.3">
      <c r="A14">
        <v>2002</v>
      </c>
      <c r="B14">
        <f>Sheet4!GY14</f>
        <v>34.570291143917601</v>
      </c>
      <c r="C14">
        <v>34.527850073793935</v>
      </c>
    </row>
    <row r="15" spans="1:3" x14ac:dyDescent="0.3">
      <c r="A15">
        <v>2003</v>
      </c>
      <c r="B15">
        <f>Sheet4!GY15</f>
        <v>34.952219027508001</v>
      </c>
      <c r="C15">
        <v>34.762227707279052</v>
      </c>
    </row>
    <row r="16" spans="1:3" x14ac:dyDescent="0.3">
      <c r="A16">
        <v>2004</v>
      </c>
      <c r="B16">
        <f>Sheet4!GY16</f>
        <v>35.3369668165615</v>
      </c>
      <c r="C16">
        <v>35.207975044158687</v>
      </c>
    </row>
    <row r="17" spans="1:3" x14ac:dyDescent="0.3">
      <c r="A17">
        <v>2005</v>
      </c>
      <c r="B17">
        <f>Sheet4!GY17</f>
        <v>35.735460558212502</v>
      </c>
      <c r="C17">
        <v>35.575121301902186</v>
      </c>
    </row>
    <row r="18" spans="1:3" x14ac:dyDescent="0.3">
      <c r="A18">
        <v>2006</v>
      </c>
      <c r="B18">
        <f>Sheet4!GY18</f>
        <v>36.141386217147499</v>
      </c>
      <c r="C18">
        <v>35.924592664931041</v>
      </c>
    </row>
    <row r="19" spans="1:3" x14ac:dyDescent="0.3">
      <c r="A19">
        <v>2007</v>
      </c>
      <c r="B19">
        <f>Sheet4!GY19</f>
        <v>36.545977039917702</v>
      </c>
      <c r="C19">
        <v>36.270913722854274</v>
      </c>
    </row>
    <row r="20" spans="1:3" x14ac:dyDescent="0.3">
      <c r="A20">
        <v>2008</v>
      </c>
      <c r="B20">
        <f>Sheet4!GY20</f>
        <v>36.947419851612104</v>
      </c>
      <c r="C20">
        <v>36.578350321009182</v>
      </c>
    </row>
    <row r="21" spans="1:3" x14ac:dyDescent="0.3">
      <c r="A21">
        <v>2009</v>
      </c>
      <c r="B21">
        <f>Sheet4!GY21</f>
        <v>37.342137795447201</v>
      </c>
      <c r="C21">
        <v>36.840639464222953</v>
      </c>
    </row>
    <row r="22" spans="1:3" x14ac:dyDescent="0.3">
      <c r="A22">
        <v>2010</v>
      </c>
      <c r="B22">
        <f>Sheet4!GY22</f>
        <v>37.730527565554603</v>
      </c>
      <c r="C22">
        <v>37.244720473487746</v>
      </c>
    </row>
    <row r="23" spans="1:3" x14ac:dyDescent="0.3">
      <c r="A23">
        <v>2011</v>
      </c>
      <c r="B23">
        <f>Sheet4!GY23</f>
        <v>38.102169128043599</v>
      </c>
      <c r="C23">
        <v>37.747235540823112</v>
      </c>
    </row>
    <row r="24" spans="1:3" x14ac:dyDescent="0.3">
      <c r="A24">
        <v>2012</v>
      </c>
      <c r="B24">
        <f>Sheet4!GY24</f>
        <v>38.474909630149803</v>
      </c>
      <c r="C24">
        <v>38.14985406254079</v>
      </c>
    </row>
    <row r="25" spans="1:3" x14ac:dyDescent="0.3">
      <c r="A25">
        <v>2013</v>
      </c>
      <c r="B25">
        <f>Sheet4!GY25</f>
        <v>38.836312269074199</v>
      </c>
      <c r="C25">
        <v>38.57440917610522</v>
      </c>
    </row>
    <row r="26" spans="1:3" x14ac:dyDescent="0.3">
      <c r="A26">
        <v>2014</v>
      </c>
      <c r="B26">
        <f>Sheet4!GY26</f>
        <v>39.186377063904402</v>
      </c>
      <c r="C26">
        <v>39.003684343420232</v>
      </c>
    </row>
    <row r="27" spans="1:3" x14ac:dyDescent="0.3">
      <c r="A27">
        <v>2015</v>
      </c>
      <c r="B27">
        <f>Sheet4!GY27</f>
        <v>39.533403641444899</v>
      </c>
      <c r="C27">
        <v>39.369847970506463</v>
      </c>
    </row>
    <row r="28" spans="1:3" x14ac:dyDescent="0.3">
      <c r="A28">
        <v>2016</v>
      </c>
      <c r="B28">
        <f>Sheet4!GY28</f>
        <v>39.866255475961196</v>
      </c>
      <c r="C28">
        <v>39.752062965031016</v>
      </c>
    </row>
    <row r="29" spans="1:3" x14ac:dyDescent="0.3">
      <c r="A29">
        <v>2017</v>
      </c>
      <c r="B29">
        <f>Sheet4!GY29</f>
        <v>40.1836312156167</v>
      </c>
      <c r="C29">
        <v>40.122208865269442</v>
      </c>
    </row>
    <row r="30" spans="1:3" x14ac:dyDescent="0.3">
      <c r="A30">
        <v>2018</v>
      </c>
      <c r="B30">
        <f>Sheet4!GY30</f>
        <v>40.498154833275201</v>
      </c>
      <c r="C30">
        <v>40.523911609094185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workbookViewId="0">
      <selection activeCell="P31" sqref="P31"/>
    </sheetView>
  </sheetViews>
  <sheetFormatPr defaultRowHeight="14.4" x14ac:dyDescent="0.3"/>
  <sheetData>
    <row r="1" spans="1:4" x14ac:dyDescent="0.3">
      <c r="A1" t="s">
        <v>45</v>
      </c>
      <c r="B1" t="s">
        <v>46</v>
      </c>
      <c r="C1" t="s">
        <v>47</v>
      </c>
    </row>
    <row r="2" spans="1:4" x14ac:dyDescent="0.3">
      <c r="A2">
        <v>1990</v>
      </c>
      <c r="B2">
        <f>Sheet4!IB2+Sheet4!IC2+Sheet4!ID2+Sheet4!IE2+Sheet4!IF2+Sheet4!IG2+Sheet4!IH2</f>
        <v>308400</v>
      </c>
      <c r="C2">
        <v>308400</v>
      </c>
      <c r="D2">
        <f>ABS(C2-B2)</f>
        <v>0</v>
      </c>
    </row>
    <row r="3" spans="1:4" x14ac:dyDescent="0.3">
      <c r="A3">
        <v>1991</v>
      </c>
      <c r="B3">
        <f>Sheet4!IB3+Sheet4!IC3+Sheet4!ID3+Sheet4!IE3+Sheet4!IF3+Sheet4!IG3+Sheet4!IH3</f>
        <v>307480</v>
      </c>
      <c r="C3">
        <v>302300</v>
      </c>
      <c r="D3">
        <f t="shared" ref="D3:D30" si="0">ABS(C3-B3)</f>
        <v>5180</v>
      </c>
    </row>
    <row r="4" spans="1:4" x14ac:dyDescent="0.3">
      <c r="A4">
        <v>1992</v>
      </c>
      <c r="B4">
        <f>Sheet4!IB4+Sheet4!IC4+Sheet4!ID4+Sheet4!IE4+Sheet4!IF4+Sheet4!IG4+Sheet4!IH4</f>
        <v>308059</v>
      </c>
      <c r="C4">
        <v>312500</v>
      </c>
      <c r="D4">
        <f t="shared" si="0"/>
        <v>4441</v>
      </c>
    </row>
    <row r="5" spans="1:4" x14ac:dyDescent="0.3">
      <c r="A5">
        <v>1993</v>
      </c>
      <c r="B5">
        <f>Sheet4!IB5+Sheet4!IC5+Sheet4!ID5+Sheet4!IE5+Sheet4!IF5+Sheet4!IG5+Sheet4!IH5</f>
        <v>309995</v>
      </c>
      <c r="C5">
        <v>316100</v>
      </c>
      <c r="D5">
        <f t="shared" si="0"/>
        <v>6105</v>
      </c>
    </row>
    <row r="6" spans="1:4" x14ac:dyDescent="0.3">
      <c r="A6">
        <v>1994</v>
      </c>
      <c r="B6">
        <f>Sheet4!IB6+Sheet4!IC6+Sheet4!ID6+Sheet4!IE6+Sheet4!IF6+Sheet4!IG6+Sheet4!IH6</f>
        <v>312748</v>
      </c>
      <c r="C6">
        <v>313600</v>
      </c>
      <c r="D6">
        <f t="shared" si="0"/>
        <v>852</v>
      </c>
    </row>
    <row r="7" spans="1:4" x14ac:dyDescent="0.3">
      <c r="A7">
        <v>1995</v>
      </c>
      <c r="B7">
        <f>Sheet4!IB7+Sheet4!IC7+Sheet4!ID7+Sheet4!IE7+Sheet4!IF7+Sheet4!IG7+Sheet4!IH7</f>
        <v>316890</v>
      </c>
      <c r="C7">
        <v>313000</v>
      </c>
      <c r="D7">
        <f t="shared" si="0"/>
        <v>3890</v>
      </c>
    </row>
    <row r="8" spans="1:4" x14ac:dyDescent="0.3">
      <c r="A8">
        <v>1996</v>
      </c>
      <c r="B8">
        <f>Sheet4!IB8+Sheet4!IC8+Sheet4!ID8+Sheet4!IE8+Sheet4!IF8+Sheet4!IG8+Sheet4!IH8</f>
        <v>320705</v>
      </c>
      <c r="C8">
        <v>297300</v>
      </c>
      <c r="D8">
        <f t="shared" si="0"/>
        <v>23405</v>
      </c>
    </row>
    <row r="9" spans="1:4" x14ac:dyDescent="0.3">
      <c r="A9">
        <v>1997</v>
      </c>
      <c r="B9">
        <f>Sheet4!IB9+Sheet4!IC9+Sheet4!ID9+Sheet4!IE9+Sheet4!IF9+Sheet4!IG9+Sheet4!IH9</f>
        <v>324931</v>
      </c>
      <c r="C9">
        <v>313600</v>
      </c>
      <c r="D9">
        <f t="shared" si="0"/>
        <v>11331</v>
      </c>
    </row>
    <row r="10" spans="1:4" x14ac:dyDescent="0.3">
      <c r="A10">
        <v>1998</v>
      </c>
      <c r="B10">
        <f>Sheet4!IB10+Sheet4!IC10+Sheet4!ID10+Sheet4!IE10+Sheet4!IF10+Sheet4!IG10+Sheet4!IH10</f>
        <v>328931</v>
      </c>
      <c r="C10">
        <v>306100</v>
      </c>
      <c r="D10">
        <f t="shared" si="0"/>
        <v>22831</v>
      </c>
    </row>
    <row r="11" spans="1:4" x14ac:dyDescent="0.3">
      <c r="A11">
        <v>1999</v>
      </c>
      <c r="B11">
        <f>Sheet4!IB11+Sheet4!IC11+Sheet4!ID11+Sheet4!IE11+Sheet4!IF11+Sheet4!IG11+Sheet4!IH11</f>
        <v>333029</v>
      </c>
      <c r="C11">
        <v>308500</v>
      </c>
      <c r="D11">
        <f t="shared" si="0"/>
        <v>24529</v>
      </c>
    </row>
    <row r="12" spans="1:4" x14ac:dyDescent="0.3">
      <c r="A12">
        <v>2000</v>
      </c>
      <c r="B12">
        <f>Sheet4!IB12+Sheet4!IC12+Sheet4!ID12+Sheet4!IE12+Sheet4!IF12+Sheet4!IG12+Sheet4!IH12</f>
        <v>336998</v>
      </c>
      <c r="C12">
        <v>303100</v>
      </c>
      <c r="D12">
        <f t="shared" si="0"/>
        <v>33898</v>
      </c>
    </row>
    <row r="13" spans="1:4" x14ac:dyDescent="0.3">
      <c r="A13">
        <v>2001</v>
      </c>
      <c r="B13">
        <f>Sheet4!IB13+Sheet4!IC13+Sheet4!ID13+Sheet4!IE13+Sheet4!IF13+Sheet4!IG13+Sheet4!IH13</f>
        <v>341482</v>
      </c>
      <c r="C13">
        <v>304900</v>
      </c>
      <c r="D13">
        <f t="shared" si="0"/>
        <v>36582</v>
      </c>
    </row>
    <row r="14" spans="1:4" x14ac:dyDescent="0.3">
      <c r="A14">
        <v>2002</v>
      </c>
      <c r="B14">
        <f>Sheet4!IB14+Sheet4!IC14+Sheet4!ID14+Sheet4!IE14+Sheet4!IF14+Sheet4!IG14+Sheet4!IH14</f>
        <v>346506</v>
      </c>
      <c r="C14">
        <v>319800</v>
      </c>
      <c r="D14">
        <f t="shared" si="0"/>
        <v>26706</v>
      </c>
    </row>
    <row r="15" spans="1:4" x14ac:dyDescent="0.3">
      <c r="A15">
        <v>2003</v>
      </c>
      <c r="B15">
        <f>Sheet4!IB15+Sheet4!IC15+Sheet4!ID15+Sheet4!IE15+Sheet4!IF15+Sheet4!IG15+Sheet4!IH15</f>
        <v>351382</v>
      </c>
      <c r="C15">
        <v>324700</v>
      </c>
      <c r="D15">
        <f t="shared" si="0"/>
        <v>26682</v>
      </c>
    </row>
    <row r="16" spans="1:4" x14ac:dyDescent="0.3">
      <c r="A16">
        <v>2004</v>
      </c>
      <c r="B16">
        <f>Sheet4!IB16+Sheet4!IC16+Sheet4!ID16+Sheet4!IE16+Sheet4!IF16+Sheet4!IG16+Sheet4!IH16</f>
        <v>357231</v>
      </c>
      <c r="C16">
        <v>332000</v>
      </c>
      <c r="D16">
        <f t="shared" si="0"/>
        <v>25231</v>
      </c>
    </row>
    <row r="17" spans="1:4" x14ac:dyDescent="0.3">
      <c r="A17">
        <v>2005</v>
      </c>
      <c r="B17">
        <f>Sheet4!IB17+Sheet4!IC17+Sheet4!ID17+Sheet4!IE17+Sheet4!IF17+Sheet4!IG17+Sheet4!IH17</f>
        <v>363196</v>
      </c>
      <c r="C17">
        <v>337000</v>
      </c>
      <c r="D17">
        <f t="shared" si="0"/>
        <v>26196</v>
      </c>
    </row>
    <row r="18" spans="1:4" x14ac:dyDescent="0.3">
      <c r="A18">
        <v>2006</v>
      </c>
      <c r="B18">
        <f>Sheet4!IB18+Sheet4!IC18+Sheet4!ID18+Sheet4!IE18+Sheet4!IF18+Sheet4!IG18+Sheet4!IH18</f>
        <v>369782</v>
      </c>
      <c r="C18">
        <v>346300</v>
      </c>
      <c r="D18">
        <f t="shared" si="0"/>
        <v>23482</v>
      </c>
    </row>
    <row r="19" spans="1:4" x14ac:dyDescent="0.3">
      <c r="A19">
        <v>2007</v>
      </c>
      <c r="B19">
        <f>Sheet4!IB19+Sheet4!IC19+Sheet4!ID19+Sheet4!IE19+Sheet4!IF19+Sheet4!IG19+Sheet4!IH19</f>
        <v>376496</v>
      </c>
      <c r="C19">
        <v>344400</v>
      </c>
      <c r="D19">
        <f t="shared" si="0"/>
        <v>32096</v>
      </c>
    </row>
    <row r="20" spans="1:4" x14ac:dyDescent="0.3">
      <c r="A20">
        <v>2008</v>
      </c>
      <c r="B20">
        <f>Sheet4!IB20+Sheet4!IC20+Sheet4!ID20+Sheet4!IE20+Sheet4!IF20+Sheet4!IG20+Sheet4!IH20</f>
        <v>384149</v>
      </c>
      <c r="C20">
        <v>350700</v>
      </c>
      <c r="D20">
        <f t="shared" si="0"/>
        <v>33449</v>
      </c>
    </row>
    <row r="21" spans="1:4" x14ac:dyDescent="0.3">
      <c r="A21">
        <v>2009</v>
      </c>
      <c r="B21">
        <f>Sheet4!IB21+Sheet4!IC21+Sheet4!ID21+Sheet4!IE21+Sheet4!IF21+Sheet4!IG21+Sheet4!IH21</f>
        <v>391701</v>
      </c>
      <c r="C21">
        <v>367000</v>
      </c>
      <c r="D21">
        <f t="shared" si="0"/>
        <v>24701</v>
      </c>
    </row>
    <row r="22" spans="1:4" x14ac:dyDescent="0.3">
      <c r="A22">
        <v>2010</v>
      </c>
      <c r="B22">
        <f>Sheet4!IB22+Sheet4!IC22+Sheet4!ID22+Sheet4!IE22+Sheet4!IF22+Sheet4!IG22+Sheet4!IH22</f>
        <v>423925</v>
      </c>
      <c r="C22">
        <v>387100</v>
      </c>
      <c r="D22">
        <f t="shared" si="0"/>
        <v>36825</v>
      </c>
    </row>
    <row r="23" spans="1:4" x14ac:dyDescent="0.3">
      <c r="A23">
        <v>2011</v>
      </c>
      <c r="B23">
        <f>Sheet4!IB23+Sheet4!IC23+Sheet4!ID23+Sheet4!IE23+Sheet4!IF23+Sheet4!IG23+Sheet4!IH23</f>
        <v>435902</v>
      </c>
      <c r="C23">
        <v>384500</v>
      </c>
      <c r="D23">
        <f t="shared" si="0"/>
        <v>51402</v>
      </c>
    </row>
    <row r="24" spans="1:4" x14ac:dyDescent="0.3">
      <c r="A24">
        <v>2012</v>
      </c>
      <c r="B24">
        <f>Sheet4!IB24+Sheet4!IC24+Sheet4!ID24+Sheet4!IE24+Sheet4!IF24+Sheet4!IG24+Sheet4!IH24</f>
        <v>443362</v>
      </c>
      <c r="C24">
        <v>393600</v>
      </c>
      <c r="D24">
        <f t="shared" si="0"/>
        <v>49762</v>
      </c>
    </row>
    <row r="25" spans="1:4" x14ac:dyDescent="0.3">
      <c r="A25">
        <v>2013</v>
      </c>
      <c r="B25">
        <f>Sheet4!IB25+Sheet4!IC25+Sheet4!ID25+Sheet4!IE25+Sheet4!IF25+Sheet4!IG25+Sheet4!IH25</f>
        <v>449405</v>
      </c>
      <c r="C25">
        <v>396400</v>
      </c>
      <c r="D25">
        <f t="shared" si="0"/>
        <v>53005</v>
      </c>
    </row>
    <row r="26" spans="1:4" x14ac:dyDescent="0.3">
      <c r="A26">
        <v>2014</v>
      </c>
      <c r="B26">
        <f>Sheet4!IB26+Sheet4!IC26+Sheet4!ID26+Sheet4!IE26+Sheet4!IF26+Sheet4!IG26+Sheet4!IH26</f>
        <v>455261</v>
      </c>
      <c r="C26">
        <v>408100</v>
      </c>
      <c r="D26">
        <f t="shared" si="0"/>
        <v>47161</v>
      </c>
    </row>
    <row r="27" spans="1:4" x14ac:dyDescent="0.3">
      <c r="A27">
        <v>2015</v>
      </c>
      <c r="B27">
        <f>Sheet4!IB27+Sheet4!IC27+Sheet4!ID27+Sheet4!IE27+Sheet4!IF27+Sheet4!IG27+Sheet4!IH27</f>
        <v>458207</v>
      </c>
      <c r="C27">
        <v>401400</v>
      </c>
      <c r="D27">
        <f t="shared" si="0"/>
        <v>56807</v>
      </c>
    </row>
    <row r="28" spans="1:4" x14ac:dyDescent="0.3">
      <c r="A28">
        <v>2016</v>
      </c>
      <c r="B28">
        <f>Sheet4!IB28+Sheet4!IC28+Sheet4!ID28+Sheet4!IE28+Sheet4!IF28+Sheet4!IG28+Sheet4!IH28</f>
        <v>459891</v>
      </c>
      <c r="C28">
        <v>412200</v>
      </c>
      <c r="D28">
        <f t="shared" si="0"/>
        <v>47691</v>
      </c>
    </row>
    <row r="29" spans="1:4" x14ac:dyDescent="0.3">
      <c r="A29">
        <v>2017</v>
      </c>
      <c r="B29">
        <f>Sheet4!IB29+Sheet4!IC29+Sheet4!ID29+Sheet4!IE29+Sheet4!IF29+Sheet4!IG29+Sheet4!IH29</f>
        <v>460562</v>
      </c>
      <c r="C29">
        <v>403600</v>
      </c>
      <c r="D29">
        <f t="shared" si="0"/>
        <v>56962</v>
      </c>
    </row>
    <row r="30" spans="1:4" x14ac:dyDescent="0.3">
      <c r="A30">
        <v>2018</v>
      </c>
      <c r="B30">
        <f>Sheet4!IB30+Sheet4!IC30+Sheet4!ID30+Sheet4!IE30+Sheet4!IF30+Sheet4!IG30+Sheet4!IH30</f>
        <v>460389</v>
      </c>
      <c r="C30">
        <v>414400</v>
      </c>
      <c r="D30">
        <f t="shared" si="0"/>
        <v>45989</v>
      </c>
    </row>
    <row r="31" spans="1:4" x14ac:dyDescent="0.3">
      <c r="D31">
        <f>SUM(D2:D30)</f>
        <v>837191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workbookViewId="0">
      <selection activeCell="J32" sqref="J32"/>
    </sheetView>
  </sheetViews>
  <sheetFormatPr defaultRowHeight="14.4" x14ac:dyDescent="0.3"/>
  <sheetData>
    <row r="1" spans="1:4" x14ac:dyDescent="0.3">
      <c r="A1" t="s">
        <v>45</v>
      </c>
      <c r="B1" t="s">
        <v>46</v>
      </c>
      <c r="C1" t="s">
        <v>47</v>
      </c>
    </row>
    <row r="2" spans="1:4" x14ac:dyDescent="0.3">
      <c r="A2">
        <v>1990</v>
      </c>
      <c r="B2">
        <f>Sheet4!HN2+Sheet4!HO2+Sheet4!HP2+Sheet4!HQ2+Sheet4!HR2+Sheet4!HS2+Sheet4!HT2</f>
        <v>600548</v>
      </c>
      <c r="C2">
        <v>586400</v>
      </c>
      <c r="D2">
        <f>ABS(C2-B2)</f>
        <v>14148</v>
      </c>
    </row>
    <row r="3" spans="1:4" x14ac:dyDescent="0.3">
      <c r="A3">
        <v>1991</v>
      </c>
      <c r="B3">
        <f>Sheet4!HN3+Sheet4!HO3+Sheet4!HP3+Sheet4!HQ3+Sheet4!HR3+Sheet4!HS3+Sheet4!HT3</f>
        <v>617424</v>
      </c>
      <c r="C3">
        <v>621300</v>
      </c>
      <c r="D3">
        <f t="shared" ref="D3:D30" si="0">ABS(C3-B3)</f>
        <v>3876</v>
      </c>
    </row>
    <row r="4" spans="1:4" x14ac:dyDescent="0.3">
      <c r="A4">
        <v>1992</v>
      </c>
      <c r="B4">
        <f>Sheet4!HN4+Sheet4!HO4+Sheet4!HP4+Sheet4!HQ4+Sheet4!HR4+Sheet4!HS4+Sheet4!HT4</f>
        <v>634406</v>
      </c>
      <c r="C4">
        <v>633200</v>
      </c>
      <c r="D4">
        <f t="shared" si="0"/>
        <v>1206</v>
      </c>
    </row>
    <row r="5" spans="1:4" x14ac:dyDescent="0.3">
      <c r="A5">
        <v>1993</v>
      </c>
      <c r="B5">
        <f>Sheet4!HN5+Sheet4!HO5+Sheet4!HP5+Sheet4!HQ5+Sheet4!HR5+Sheet4!HS5+Sheet4!HT5</f>
        <v>650929</v>
      </c>
      <c r="C5">
        <v>657300</v>
      </c>
      <c r="D5">
        <f t="shared" si="0"/>
        <v>6371</v>
      </c>
    </row>
    <row r="6" spans="1:4" x14ac:dyDescent="0.3">
      <c r="A6">
        <v>1994</v>
      </c>
      <c r="B6">
        <f>Sheet4!HN6+Sheet4!HO6+Sheet4!HP6+Sheet4!HQ6+Sheet4!HR6+Sheet4!HS6+Sheet4!HT6</f>
        <v>667003</v>
      </c>
      <c r="C6">
        <v>674700</v>
      </c>
      <c r="D6">
        <f t="shared" si="0"/>
        <v>7697</v>
      </c>
    </row>
    <row r="7" spans="1:4" x14ac:dyDescent="0.3">
      <c r="A7">
        <v>1995</v>
      </c>
      <c r="B7">
        <f>Sheet4!HN7+Sheet4!HO7+Sheet4!HP7+Sheet4!HQ7+Sheet4!HR7+Sheet4!HS7+Sheet4!HT7</f>
        <v>682017</v>
      </c>
      <c r="C7">
        <v>692100</v>
      </c>
      <c r="D7">
        <f t="shared" si="0"/>
        <v>10083</v>
      </c>
    </row>
    <row r="8" spans="1:4" x14ac:dyDescent="0.3">
      <c r="A8">
        <v>1996</v>
      </c>
      <c r="B8">
        <f>Sheet4!HN8+Sheet4!HO8+Sheet4!HP8+Sheet4!HQ8+Sheet4!HR8+Sheet4!HS8+Sheet4!HT8</f>
        <v>697473</v>
      </c>
      <c r="C8">
        <v>716800</v>
      </c>
      <c r="D8">
        <f t="shared" si="0"/>
        <v>19327</v>
      </c>
    </row>
    <row r="9" spans="1:4" x14ac:dyDescent="0.3">
      <c r="A9">
        <v>1997</v>
      </c>
      <c r="B9">
        <f>Sheet4!HN9+Sheet4!HO9+Sheet4!HP9+Sheet4!HQ9+Sheet4!HR9+Sheet4!HS9+Sheet4!HT9</f>
        <v>712489</v>
      </c>
      <c r="C9">
        <v>736600</v>
      </c>
      <c r="D9">
        <f t="shared" si="0"/>
        <v>24111</v>
      </c>
    </row>
    <row r="10" spans="1:4" x14ac:dyDescent="0.3">
      <c r="A10">
        <v>1998</v>
      </c>
      <c r="B10">
        <f>Sheet4!HN10+Sheet4!HO10+Sheet4!HP10+Sheet4!HQ10+Sheet4!HR10+Sheet4!HS10+Sheet4!HT10</f>
        <v>727376</v>
      </c>
      <c r="C10">
        <v>750500</v>
      </c>
      <c r="D10">
        <f t="shared" si="0"/>
        <v>23124</v>
      </c>
    </row>
    <row r="11" spans="1:4" x14ac:dyDescent="0.3">
      <c r="A11">
        <v>1999</v>
      </c>
      <c r="B11">
        <f>Sheet4!HN11+Sheet4!HO11+Sheet4!HP11+Sheet4!HQ11+Sheet4!HR11+Sheet4!HS11+Sheet4!HT11</f>
        <v>741870</v>
      </c>
      <c r="C11">
        <v>768500</v>
      </c>
      <c r="D11">
        <f t="shared" si="0"/>
        <v>26630</v>
      </c>
    </row>
    <row r="12" spans="1:4" x14ac:dyDescent="0.3">
      <c r="A12">
        <v>2000</v>
      </c>
      <c r="B12">
        <f>Sheet4!HN12+Sheet4!HO12+Sheet4!HP12+Sheet4!HQ12+Sheet4!HR12+Sheet4!HS12+Sheet4!HT12</f>
        <v>756668</v>
      </c>
      <c r="C12">
        <v>770800</v>
      </c>
      <c r="D12">
        <f t="shared" si="0"/>
        <v>14132</v>
      </c>
    </row>
    <row r="13" spans="1:4" x14ac:dyDescent="0.3">
      <c r="A13">
        <v>2001</v>
      </c>
      <c r="B13">
        <f>Sheet4!HN13+Sheet4!HO13+Sheet4!HP13+Sheet4!HQ13+Sheet4!HR13+Sheet4!HS13+Sheet4!HT13</f>
        <v>771102</v>
      </c>
      <c r="C13">
        <v>792700</v>
      </c>
      <c r="D13">
        <f t="shared" si="0"/>
        <v>21598</v>
      </c>
    </row>
    <row r="14" spans="1:4" x14ac:dyDescent="0.3">
      <c r="A14">
        <v>2002</v>
      </c>
      <c r="B14">
        <f>Sheet4!HN14+Sheet4!HO14+Sheet4!HP14+Sheet4!HQ14+Sheet4!HR14+Sheet4!HS14+Sheet4!HT14</f>
        <v>784773</v>
      </c>
      <c r="C14">
        <v>814200</v>
      </c>
      <c r="D14">
        <f t="shared" si="0"/>
        <v>29427</v>
      </c>
    </row>
    <row r="15" spans="1:4" x14ac:dyDescent="0.3">
      <c r="A15">
        <v>2003</v>
      </c>
      <c r="B15">
        <f>Sheet4!HN15+Sheet4!HO15+Sheet4!HP15+Sheet4!HQ15+Sheet4!HR15+Sheet4!HS15+Sheet4!HT15</f>
        <v>798282</v>
      </c>
      <c r="C15">
        <v>835300</v>
      </c>
      <c r="D15">
        <f t="shared" si="0"/>
        <v>37018</v>
      </c>
    </row>
    <row r="16" spans="1:4" x14ac:dyDescent="0.3">
      <c r="A16">
        <v>2004</v>
      </c>
      <c r="B16">
        <f>Sheet4!HN16+Sheet4!HO16+Sheet4!HP16+Sheet4!HQ16+Sheet4!HR16+Sheet4!HS16+Sheet4!HT16</f>
        <v>811293</v>
      </c>
      <c r="C16">
        <v>846700</v>
      </c>
      <c r="D16">
        <f t="shared" si="0"/>
        <v>35407</v>
      </c>
    </row>
    <row r="17" spans="1:4" x14ac:dyDescent="0.3">
      <c r="A17">
        <v>2005</v>
      </c>
      <c r="B17">
        <f>Sheet4!HN17+Sheet4!HO17+Sheet4!HP17+Sheet4!HQ17+Sheet4!HR17+Sheet4!HS17+Sheet4!HT17</f>
        <v>824419</v>
      </c>
      <c r="C17">
        <v>847000</v>
      </c>
      <c r="D17">
        <f t="shared" si="0"/>
        <v>22581</v>
      </c>
    </row>
    <row r="18" spans="1:4" x14ac:dyDescent="0.3">
      <c r="A18">
        <v>2006</v>
      </c>
      <c r="B18">
        <f>Sheet4!HN18+Sheet4!HO18+Sheet4!HP18+Sheet4!HQ18+Sheet4!HR18+Sheet4!HS18+Sheet4!HT18</f>
        <v>837047</v>
      </c>
      <c r="C18">
        <v>883300</v>
      </c>
      <c r="D18">
        <f t="shared" si="0"/>
        <v>46253</v>
      </c>
    </row>
    <row r="19" spans="1:4" x14ac:dyDescent="0.3">
      <c r="A19">
        <v>2007</v>
      </c>
      <c r="B19">
        <f>Sheet4!HN19+Sheet4!HO19+Sheet4!HP19+Sheet4!HQ19+Sheet4!HR19+Sheet4!HS19+Sheet4!HT19</f>
        <v>849873</v>
      </c>
      <c r="C19">
        <v>894500</v>
      </c>
      <c r="D19">
        <f t="shared" si="0"/>
        <v>44627</v>
      </c>
    </row>
    <row r="20" spans="1:4" x14ac:dyDescent="0.3">
      <c r="A20">
        <v>2008</v>
      </c>
      <c r="B20">
        <f>Sheet4!HN20+Sheet4!HO20+Sheet4!HP20+Sheet4!HQ20+Sheet4!HR20+Sheet4!HS20+Sheet4!HT20</f>
        <v>862284</v>
      </c>
      <c r="C20">
        <v>896000</v>
      </c>
      <c r="D20">
        <f t="shared" si="0"/>
        <v>33716</v>
      </c>
    </row>
    <row r="21" spans="1:4" x14ac:dyDescent="0.3">
      <c r="A21">
        <v>2009</v>
      </c>
      <c r="B21">
        <f>Sheet4!HN21+Sheet4!HO21+Sheet4!HP21+Sheet4!HQ21+Sheet4!HR21+Sheet4!HS21+Sheet4!HT21</f>
        <v>874436</v>
      </c>
      <c r="C21">
        <v>913300</v>
      </c>
      <c r="D21">
        <f t="shared" si="0"/>
        <v>38864</v>
      </c>
    </row>
    <row r="22" spans="1:4" x14ac:dyDescent="0.3">
      <c r="A22">
        <v>2010</v>
      </c>
      <c r="B22">
        <f>Sheet4!HN22+Sheet4!HO22+Sheet4!HP22+Sheet4!HQ22+Sheet4!HR22+Sheet4!HS22+Sheet4!HT22</f>
        <v>887005</v>
      </c>
      <c r="C22">
        <v>928200</v>
      </c>
      <c r="D22">
        <f t="shared" si="0"/>
        <v>41195</v>
      </c>
    </row>
    <row r="23" spans="1:4" x14ac:dyDescent="0.3">
      <c r="A23">
        <v>2011</v>
      </c>
      <c r="B23">
        <f>Sheet4!HN23+Sheet4!HO23+Sheet4!HP23+Sheet4!HQ23+Sheet4!HR23+Sheet4!HS23+Sheet4!HT23</f>
        <v>899183</v>
      </c>
      <c r="C23">
        <v>944200</v>
      </c>
      <c r="D23">
        <f t="shared" si="0"/>
        <v>45017</v>
      </c>
    </row>
    <row r="24" spans="1:4" x14ac:dyDescent="0.3">
      <c r="A24">
        <v>2012</v>
      </c>
      <c r="B24">
        <f>Sheet4!HN24+Sheet4!HO24+Sheet4!HP24+Sheet4!HQ24+Sheet4!HR24+Sheet4!HS24+Sheet4!HT24</f>
        <v>911623</v>
      </c>
      <c r="C24">
        <v>952000</v>
      </c>
      <c r="D24">
        <f t="shared" si="0"/>
        <v>40377</v>
      </c>
    </row>
    <row r="25" spans="1:4" x14ac:dyDescent="0.3">
      <c r="A25">
        <v>2013</v>
      </c>
      <c r="B25">
        <f>Sheet4!HN25+Sheet4!HO25+Sheet4!HP25+Sheet4!HQ25+Sheet4!HR25+Sheet4!HS25+Sheet4!HT25</f>
        <v>923859</v>
      </c>
      <c r="C25">
        <v>963000</v>
      </c>
      <c r="D25">
        <f t="shared" si="0"/>
        <v>39141</v>
      </c>
    </row>
    <row r="26" spans="1:4" x14ac:dyDescent="0.3">
      <c r="A26">
        <v>2014</v>
      </c>
      <c r="B26">
        <f>Sheet4!HN26+Sheet4!HO26+Sheet4!HP26+Sheet4!HQ26+Sheet4!HR26+Sheet4!HS26+Sheet4!HT26</f>
        <v>935365</v>
      </c>
      <c r="C26">
        <v>980900</v>
      </c>
      <c r="D26">
        <f t="shared" si="0"/>
        <v>45535</v>
      </c>
    </row>
    <row r="27" spans="1:4" x14ac:dyDescent="0.3">
      <c r="A27">
        <v>2015</v>
      </c>
      <c r="B27">
        <f>Sheet4!HN27+Sheet4!HO27+Sheet4!HP27+Sheet4!HQ27+Sheet4!HR27+Sheet4!HS27+Sheet4!HT27</f>
        <v>947706</v>
      </c>
      <c r="C27">
        <v>984700</v>
      </c>
      <c r="D27">
        <f t="shared" si="0"/>
        <v>36994</v>
      </c>
    </row>
    <row r="28" spans="1:4" x14ac:dyDescent="0.3">
      <c r="A28">
        <v>2016</v>
      </c>
      <c r="B28">
        <f>Sheet4!HN28+Sheet4!HO28+Sheet4!HP28+Sheet4!HQ28+Sheet4!HR28+Sheet4!HS28+Sheet4!HT28</f>
        <v>958697</v>
      </c>
      <c r="C28">
        <v>993800</v>
      </c>
      <c r="D28">
        <f t="shared" si="0"/>
        <v>35103</v>
      </c>
    </row>
    <row r="29" spans="1:4" x14ac:dyDescent="0.3">
      <c r="A29">
        <v>2017</v>
      </c>
      <c r="B29">
        <f>Sheet4!HN29+Sheet4!HO29+Sheet4!HP29+Sheet4!HQ29+Sheet4!HR29+Sheet4!HS29+Sheet4!HT29</f>
        <v>968969</v>
      </c>
      <c r="C29">
        <v>1026200</v>
      </c>
      <c r="D29">
        <f t="shared" si="0"/>
        <v>57231</v>
      </c>
    </row>
    <row r="30" spans="1:4" x14ac:dyDescent="0.3">
      <c r="A30">
        <v>2018</v>
      </c>
      <c r="B30">
        <f>Sheet4!HN30+Sheet4!HO30+Sheet4!HP30+Sheet4!HQ30+Sheet4!HR30+Sheet4!HS30+Sheet4!HT30</f>
        <v>978942</v>
      </c>
      <c r="C30">
        <v>1025100</v>
      </c>
      <c r="D30">
        <f t="shared" si="0"/>
        <v>46158</v>
      </c>
    </row>
    <row r="31" spans="1:4" x14ac:dyDescent="0.3">
      <c r="D31">
        <f>SUM(D2:D30)</f>
        <v>846947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workbookViewId="0">
      <selection activeCell="P32" sqref="P32"/>
    </sheetView>
  </sheetViews>
  <sheetFormatPr defaultRowHeight="14.4" x14ac:dyDescent="0.3"/>
  <sheetData>
    <row r="1" spans="1:4" x14ac:dyDescent="0.3">
      <c r="A1" t="s">
        <v>45</v>
      </c>
      <c r="B1" t="s">
        <v>46</v>
      </c>
      <c r="C1" t="s">
        <v>47</v>
      </c>
    </row>
    <row r="2" spans="1:4" x14ac:dyDescent="0.3">
      <c r="A2">
        <v>1990</v>
      </c>
      <c r="B2">
        <f>Sheet4!IP2+Sheet4!IQ2+Sheet4!IR2+Sheet4!IS2+Sheet4!IT2+Sheet4!IU2+Sheet4!IV2</f>
        <v>25701</v>
      </c>
      <c r="C2">
        <v>26000</v>
      </c>
      <c r="D2">
        <f>ABS(C2-B2)</f>
        <v>299</v>
      </c>
    </row>
    <row r="3" spans="1:4" x14ac:dyDescent="0.3">
      <c r="A3">
        <v>1991</v>
      </c>
      <c r="B3">
        <f>Sheet4!IP3+Sheet4!IQ3+Sheet4!IR3+Sheet4!IS3+Sheet4!IT3+Sheet4!IU3+Sheet4!IV3</f>
        <v>27789</v>
      </c>
      <c r="C3">
        <v>20200</v>
      </c>
      <c r="D3">
        <f t="shared" ref="D3:D30" si="0">ABS(C3-B3)</f>
        <v>7589</v>
      </c>
    </row>
    <row r="4" spans="1:4" x14ac:dyDescent="0.3">
      <c r="A4">
        <v>1992</v>
      </c>
      <c r="B4">
        <f>Sheet4!IP4+Sheet4!IQ4+Sheet4!IR4+Sheet4!IS4+Sheet4!IT4+Sheet4!IU4+Sheet4!IV4</f>
        <v>29413</v>
      </c>
      <c r="C4">
        <v>22400</v>
      </c>
      <c r="D4">
        <f t="shared" si="0"/>
        <v>7013</v>
      </c>
    </row>
    <row r="5" spans="1:4" x14ac:dyDescent="0.3">
      <c r="A5">
        <v>1993</v>
      </c>
      <c r="B5">
        <f>Sheet4!IP5+Sheet4!IQ5+Sheet4!IR5+Sheet4!IS5+Sheet4!IT5+Sheet4!IU5+Sheet4!IV5</f>
        <v>30965</v>
      </c>
      <c r="C5">
        <v>20700</v>
      </c>
      <c r="D5">
        <f t="shared" si="0"/>
        <v>10265</v>
      </c>
    </row>
    <row r="6" spans="1:4" x14ac:dyDescent="0.3">
      <c r="A6">
        <v>1994</v>
      </c>
      <c r="B6">
        <f>Sheet4!IP6+Sheet4!IQ6+Sheet4!IR6+Sheet4!IS6+Sheet4!IT6+Sheet4!IU6+Sheet4!IV6</f>
        <v>32373</v>
      </c>
      <c r="C6">
        <v>21700</v>
      </c>
      <c r="D6">
        <f t="shared" si="0"/>
        <v>10673</v>
      </c>
    </row>
    <row r="7" spans="1:4" x14ac:dyDescent="0.3">
      <c r="A7">
        <v>1995</v>
      </c>
      <c r="B7">
        <f>Sheet4!IP7+Sheet4!IQ7+Sheet4!IR7+Sheet4!IS7+Sheet4!IT7+Sheet4!IU7+Sheet4!IV7</f>
        <v>33601</v>
      </c>
      <c r="C7">
        <v>19900</v>
      </c>
      <c r="D7">
        <f t="shared" si="0"/>
        <v>13701</v>
      </c>
    </row>
    <row r="8" spans="1:4" x14ac:dyDescent="0.3">
      <c r="A8">
        <v>1996</v>
      </c>
      <c r="B8">
        <f>Sheet4!IP8+Sheet4!IQ8+Sheet4!IR8+Sheet4!IS8+Sheet4!IT8+Sheet4!IU8+Sheet4!IV8</f>
        <v>34728</v>
      </c>
      <c r="C8">
        <v>23900</v>
      </c>
      <c r="D8">
        <f t="shared" si="0"/>
        <v>10828</v>
      </c>
    </row>
    <row r="9" spans="1:4" x14ac:dyDescent="0.3">
      <c r="A9">
        <v>1997</v>
      </c>
      <c r="B9">
        <f>Sheet4!IP9+Sheet4!IQ9+Sheet4!IR9+Sheet4!IS9+Sheet4!IT9+Sheet4!IU9+Sheet4!IV9</f>
        <v>35703</v>
      </c>
      <c r="C9">
        <v>20900</v>
      </c>
      <c r="D9">
        <f t="shared" si="0"/>
        <v>14803</v>
      </c>
    </row>
    <row r="10" spans="1:4" x14ac:dyDescent="0.3">
      <c r="A10">
        <v>1998</v>
      </c>
      <c r="B10">
        <f>Sheet4!IP10+Sheet4!IQ10+Sheet4!IR10+Sheet4!IS10+Sheet4!IT10+Sheet4!IU10+Sheet4!IV10</f>
        <v>36566</v>
      </c>
      <c r="C10">
        <v>22600</v>
      </c>
      <c r="D10">
        <f t="shared" si="0"/>
        <v>13966</v>
      </c>
    </row>
    <row r="11" spans="1:4" x14ac:dyDescent="0.3">
      <c r="A11">
        <v>1999</v>
      </c>
      <c r="B11">
        <f>Sheet4!IP11+Sheet4!IQ11+Sheet4!IR11+Sheet4!IS11+Sheet4!IT11+Sheet4!IU11+Sheet4!IV11</f>
        <v>37619</v>
      </c>
      <c r="C11">
        <v>24600</v>
      </c>
      <c r="D11">
        <f t="shared" si="0"/>
        <v>13019</v>
      </c>
    </row>
    <row r="12" spans="1:4" x14ac:dyDescent="0.3">
      <c r="A12">
        <v>2000</v>
      </c>
      <c r="B12">
        <f>Sheet4!IP12+Sheet4!IQ12+Sheet4!IR12+Sheet4!IS12+Sheet4!IT12+Sheet4!IU12+Sheet4!IV12</f>
        <v>38587</v>
      </c>
      <c r="C12">
        <v>22600</v>
      </c>
      <c r="D12">
        <f t="shared" si="0"/>
        <v>15987</v>
      </c>
    </row>
    <row r="13" spans="1:4" x14ac:dyDescent="0.3">
      <c r="A13">
        <v>2001</v>
      </c>
      <c r="B13">
        <f>Sheet4!IP13+Sheet4!IQ13+Sheet4!IR13+Sheet4!IS13+Sheet4!IT13+Sheet4!IU13+Sheet4!IV13</f>
        <v>39362</v>
      </c>
      <c r="C13">
        <v>23200</v>
      </c>
      <c r="D13">
        <f t="shared" si="0"/>
        <v>16162</v>
      </c>
    </row>
    <row r="14" spans="1:4" x14ac:dyDescent="0.3">
      <c r="A14">
        <v>2002</v>
      </c>
      <c r="B14">
        <f>Sheet4!IP14+Sheet4!IQ14+Sheet4!IR14+Sheet4!IS14+Sheet4!IT14+Sheet4!IU14+Sheet4!IV14</f>
        <v>40206</v>
      </c>
      <c r="C14">
        <v>23500</v>
      </c>
      <c r="D14">
        <f t="shared" si="0"/>
        <v>16706</v>
      </c>
    </row>
    <row r="15" spans="1:4" x14ac:dyDescent="0.3">
      <c r="A15">
        <v>2003</v>
      </c>
      <c r="B15">
        <f>Sheet4!IP15+Sheet4!IQ15+Sheet4!IR15+Sheet4!IS15+Sheet4!IT15+Sheet4!IU15+Sheet4!IV15</f>
        <v>41002</v>
      </c>
      <c r="C15">
        <v>24500</v>
      </c>
      <c r="D15">
        <f t="shared" si="0"/>
        <v>16502</v>
      </c>
    </row>
    <row r="16" spans="1:4" x14ac:dyDescent="0.3">
      <c r="A16">
        <v>2004</v>
      </c>
      <c r="B16">
        <f>Sheet4!IP16+Sheet4!IQ16+Sheet4!IR16+Sheet4!IS16+Sheet4!IT16+Sheet4!IU16+Sheet4!IV16</f>
        <v>41829</v>
      </c>
      <c r="C16">
        <v>22500</v>
      </c>
      <c r="D16">
        <f t="shared" si="0"/>
        <v>19329</v>
      </c>
    </row>
    <row r="17" spans="1:4" x14ac:dyDescent="0.3">
      <c r="A17">
        <v>2005</v>
      </c>
      <c r="B17">
        <f>Sheet4!IP17+Sheet4!IQ17+Sheet4!IR17+Sheet4!IS17+Sheet4!IT17+Sheet4!IU17+Sheet4!IV17</f>
        <v>42551</v>
      </c>
      <c r="C17">
        <v>21100</v>
      </c>
      <c r="D17">
        <f t="shared" si="0"/>
        <v>21451</v>
      </c>
    </row>
    <row r="18" spans="1:4" x14ac:dyDescent="0.3">
      <c r="A18">
        <v>2006</v>
      </c>
      <c r="B18">
        <f>Sheet4!IP18+Sheet4!IQ18+Sheet4!IR18+Sheet4!IS18+Sheet4!IT18+Sheet4!IU18+Sheet4!IV18</f>
        <v>43218</v>
      </c>
      <c r="C18">
        <v>24200</v>
      </c>
      <c r="D18">
        <f t="shared" si="0"/>
        <v>19018</v>
      </c>
    </row>
    <row r="19" spans="1:4" x14ac:dyDescent="0.3">
      <c r="A19">
        <v>2007</v>
      </c>
      <c r="B19">
        <f>Sheet4!IP19+Sheet4!IQ19+Sheet4!IR19+Sheet4!IS19+Sheet4!IT19+Sheet4!IU19+Sheet4!IV19</f>
        <v>43751</v>
      </c>
      <c r="C19">
        <v>26500</v>
      </c>
      <c r="D19">
        <f t="shared" si="0"/>
        <v>17251</v>
      </c>
    </row>
    <row r="20" spans="1:4" x14ac:dyDescent="0.3">
      <c r="A20">
        <v>2008</v>
      </c>
      <c r="B20">
        <f>Sheet4!IP20+Sheet4!IQ20+Sheet4!IR20+Sheet4!IS20+Sheet4!IT20+Sheet4!IU20+Sheet4!IV20</f>
        <v>44295</v>
      </c>
      <c r="C20">
        <v>22600</v>
      </c>
      <c r="D20">
        <f t="shared" si="0"/>
        <v>21695</v>
      </c>
    </row>
    <row r="21" spans="1:4" x14ac:dyDescent="0.3">
      <c r="A21">
        <v>2009</v>
      </c>
      <c r="B21">
        <f>Sheet4!IP21+Sheet4!IQ21+Sheet4!IR21+Sheet4!IS21+Sheet4!IT21+Sheet4!IU21+Sheet4!IV21</f>
        <v>45025</v>
      </c>
      <c r="C21">
        <v>26800</v>
      </c>
      <c r="D21">
        <f t="shared" si="0"/>
        <v>18225</v>
      </c>
    </row>
    <row r="22" spans="1:4" x14ac:dyDescent="0.3">
      <c r="A22">
        <v>2010</v>
      </c>
      <c r="B22">
        <f>Sheet4!IP22+Sheet4!IQ22+Sheet4!IR22+Sheet4!IS22+Sheet4!IT22+Sheet4!IU22+Sheet4!IV22</f>
        <v>45699</v>
      </c>
      <c r="C22">
        <v>24800</v>
      </c>
      <c r="D22">
        <f t="shared" si="0"/>
        <v>20899</v>
      </c>
    </row>
    <row r="23" spans="1:4" x14ac:dyDescent="0.3">
      <c r="A23">
        <v>2011</v>
      </c>
      <c r="B23">
        <f>Sheet4!IP23+Sheet4!IQ23+Sheet4!IR23+Sheet4!IS23+Sheet4!IT23+Sheet4!IU23+Sheet4!IV23</f>
        <v>46459</v>
      </c>
      <c r="C23">
        <v>25700</v>
      </c>
      <c r="D23">
        <f t="shared" si="0"/>
        <v>20759</v>
      </c>
    </row>
    <row r="24" spans="1:4" x14ac:dyDescent="0.3">
      <c r="A24">
        <v>2012</v>
      </c>
      <c r="B24">
        <f>Sheet4!IP24+Sheet4!IQ24+Sheet4!IR24+Sheet4!IS24+Sheet4!IT24+Sheet4!IU24+Sheet4!IV24</f>
        <v>47205</v>
      </c>
      <c r="C24">
        <v>25600</v>
      </c>
      <c r="D24">
        <f t="shared" si="0"/>
        <v>21605</v>
      </c>
    </row>
    <row r="25" spans="1:4" x14ac:dyDescent="0.3">
      <c r="A25">
        <v>2013</v>
      </c>
      <c r="B25">
        <f>Sheet4!IP25+Sheet4!IQ25+Sheet4!IR25+Sheet4!IS25+Sheet4!IT25+Sheet4!IU25+Sheet4!IV25</f>
        <v>48098</v>
      </c>
      <c r="C25">
        <v>25700</v>
      </c>
      <c r="D25">
        <f t="shared" si="0"/>
        <v>22398</v>
      </c>
    </row>
    <row r="26" spans="1:4" x14ac:dyDescent="0.3">
      <c r="A26">
        <v>2014</v>
      </c>
      <c r="B26">
        <f>Sheet4!IP26+Sheet4!IQ26+Sheet4!IR26+Sheet4!IS26+Sheet4!IT26+Sheet4!IU26+Sheet4!IV26</f>
        <v>49170</v>
      </c>
      <c r="C26">
        <v>27300</v>
      </c>
      <c r="D26">
        <f t="shared" si="0"/>
        <v>21870</v>
      </c>
    </row>
    <row r="27" spans="1:4" x14ac:dyDescent="0.3">
      <c r="A27">
        <v>2015</v>
      </c>
      <c r="B27">
        <f>Sheet4!IP27+Sheet4!IQ27+Sheet4!IR27+Sheet4!IS27+Sheet4!IT27+Sheet4!IU27+Sheet4!IV27</f>
        <v>50560</v>
      </c>
      <c r="C27">
        <v>29000</v>
      </c>
      <c r="D27">
        <f t="shared" si="0"/>
        <v>21560</v>
      </c>
    </row>
    <row r="28" spans="1:4" x14ac:dyDescent="0.3">
      <c r="A28">
        <v>2016</v>
      </c>
      <c r="B28">
        <f>Sheet4!IP28+Sheet4!IQ28+Sheet4!IR28+Sheet4!IS28+Sheet4!IT28+Sheet4!IU28+Sheet4!IV28</f>
        <v>53528</v>
      </c>
      <c r="C28">
        <v>29900</v>
      </c>
      <c r="D28">
        <f t="shared" si="0"/>
        <v>23628</v>
      </c>
    </row>
    <row r="29" spans="1:4" x14ac:dyDescent="0.3">
      <c r="A29">
        <v>2017</v>
      </c>
      <c r="B29">
        <f>Sheet4!IP29+Sheet4!IQ29+Sheet4!IR29+Sheet4!IS29+Sheet4!IT29+Sheet4!IU29+Sheet4!IV29</f>
        <v>56779</v>
      </c>
      <c r="C29">
        <v>31800</v>
      </c>
      <c r="D29">
        <f t="shared" si="0"/>
        <v>24979</v>
      </c>
    </row>
    <row r="30" spans="1:4" x14ac:dyDescent="0.3">
      <c r="A30">
        <v>2018</v>
      </c>
      <c r="B30">
        <f>Sheet4!IP30+Sheet4!IQ30+Sheet4!IR30+Sheet4!IS30+Sheet4!IT30+Sheet4!IU30+Sheet4!IV30</f>
        <v>59908</v>
      </c>
      <c r="C30">
        <v>30600</v>
      </c>
      <c r="D30">
        <f t="shared" si="0"/>
        <v>29308</v>
      </c>
    </row>
    <row r="31" spans="1:4" x14ac:dyDescent="0.3">
      <c r="D31">
        <f>SUM(D2:D30)</f>
        <v>491488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workbookViewId="0">
      <selection activeCell="F25" sqref="F25"/>
    </sheetView>
  </sheetViews>
  <sheetFormatPr defaultRowHeight="14.4" x14ac:dyDescent="0.3"/>
  <sheetData>
    <row r="1" spans="1:4" x14ac:dyDescent="0.3">
      <c r="A1" t="s">
        <v>45</v>
      </c>
      <c r="B1" t="s">
        <v>46</v>
      </c>
      <c r="C1" t="s">
        <v>47</v>
      </c>
    </row>
    <row r="2" spans="1:4" x14ac:dyDescent="0.3">
      <c r="A2">
        <v>1990</v>
      </c>
      <c r="B2">
        <f>Sheet4!GZ2+Sheet4!HA2+Sheet4!HB2+Sheet4!HC2+Sheet4!HD2+Sheet4!HE2+Sheet4!HF2</f>
        <v>10119</v>
      </c>
      <c r="C2">
        <v>10100</v>
      </c>
      <c r="D2">
        <f>ABS(B2-C2)</f>
        <v>19</v>
      </c>
    </row>
    <row r="3" spans="1:4" x14ac:dyDescent="0.3">
      <c r="A3">
        <v>1991</v>
      </c>
      <c r="B3">
        <f>Sheet4!GZ3+Sheet4!HA3+Sheet4!HB3+Sheet4!HC3+Sheet4!HD3+Sheet4!HE3+Sheet4!HF3</f>
        <v>13149</v>
      </c>
      <c r="C3">
        <v>11100</v>
      </c>
      <c r="D3">
        <f t="shared" ref="D3:D30" si="0">ABS(B3-C3)</f>
        <v>2049</v>
      </c>
    </row>
    <row r="4" spans="1:4" x14ac:dyDescent="0.3">
      <c r="A4">
        <v>1992</v>
      </c>
      <c r="B4">
        <f>Sheet4!GZ4+Sheet4!HA4+Sheet4!HB4+Sheet4!HC4+Sheet4!HD4+Sheet4!HE4+Sheet4!HF4</f>
        <v>16147</v>
      </c>
      <c r="C4">
        <v>10900</v>
      </c>
      <c r="D4">
        <f t="shared" si="0"/>
        <v>5247</v>
      </c>
    </row>
    <row r="5" spans="1:4" x14ac:dyDescent="0.3">
      <c r="A5">
        <v>1993</v>
      </c>
      <c r="B5">
        <f>Sheet4!GZ5+Sheet4!HA5+Sheet4!HB5+Sheet4!HC5+Sheet4!HD5+Sheet4!HE5+Sheet4!HF5</f>
        <v>19139</v>
      </c>
      <c r="C5">
        <v>10800</v>
      </c>
      <c r="D5">
        <f t="shared" si="0"/>
        <v>8339</v>
      </c>
    </row>
    <row r="6" spans="1:4" x14ac:dyDescent="0.3">
      <c r="A6">
        <v>1994</v>
      </c>
      <c r="B6">
        <f>Sheet4!GZ6+Sheet4!HA6+Sheet4!HB6+Sheet4!HC6+Sheet4!HD6+Sheet4!HE6+Sheet4!HF6</f>
        <v>22141</v>
      </c>
      <c r="C6">
        <v>11400</v>
      </c>
      <c r="D6">
        <f t="shared" si="0"/>
        <v>10741</v>
      </c>
    </row>
    <row r="7" spans="1:4" x14ac:dyDescent="0.3">
      <c r="A7">
        <v>1995</v>
      </c>
      <c r="B7">
        <f>Sheet4!GZ7+Sheet4!HA7+Sheet4!HB7+Sheet4!HC7+Sheet4!HD7+Sheet4!HE7+Sheet4!HF7</f>
        <v>24950</v>
      </c>
      <c r="C7">
        <v>12700</v>
      </c>
      <c r="D7">
        <f t="shared" si="0"/>
        <v>12250</v>
      </c>
    </row>
    <row r="8" spans="1:4" x14ac:dyDescent="0.3">
      <c r="A8">
        <v>1996</v>
      </c>
      <c r="B8">
        <f>Sheet4!GZ8+Sheet4!HA8+Sheet4!HB8+Sheet4!HC8+Sheet4!HD8+Sheet4!HE8+Sheet4!HF8</f>
        <v>27716</v>
      </c>
      <c r="C8">
        <v>14500</v>
      </c>
      <c r="D8">
        <f t="shared" si="0"/>
        <v>13216</v>
      </c>
    </row>
    <row r="9" spans="1:4" x14ac:dyDescent="0.3">
      <c r="A9">
        <v>1997</v>
      </c>
      <c r="B9">
        <f>Sheet4!GZ9+Sheet4!HA9+Sheet4!HB9+Sheet4!HC9+Sheet4!HD9+Sheet4!HE9+Sheet4!HF9</f>
        <v>30344</v>
      </c>
      <c r="C9">
        <v>13400</v>
      </c>
      <c r="D9">
        <f t="shared" si="0"/>
        <v>16944</v>
      </c>
    </row>
    <row r="10" spans="1:4" x14ac:dyDescent="0.3">
      <c r="A10">
        <v>1998</v>
      </c>
      <c r="B10">
        <f>Sheet4!GZ10+Sheet4!HA10+Sheet4!HB10+Sheet4!HC10+Sheet4!HD10+Sheet4!HE10+Sheet4!HF10</f>
        <v>33177</v>
      </c>
      <c r="C10">
        <v>12900</v>
      </c>
      <c r="D10">
        <f t="shared" si="0"/>
        <v>20277</v>
      </c>
    </row>
    <row r="11" spans="1:4" x14ac:dyDescent="0.3">
      <c r="A11">
        <v>1999</v>
      </c>
      <c r="B11">
        <f>Sheet4!GZ11+Sheet4!HA11+Sheet4!HB11+Sheet4!HC11+Sheet4!HD11+Sheet4!HE11+Sheet4!HF11</f>
        <v>35903</v>
      </c>
      <c r="C11">
        <v>16100</v>
      </c>
      <c r="D11">
        <f t="shared" si="0"/>
        <v>19803</v>
      </c>
    </row>
    <row r="12" spans="1:4" x14ac:dyDescent="0.3">
      <c r="A12">
        <v>2000</v>
      </c>
      <c r="B12">
        <f>Sheet4!GZ12+Sheet4!HA12+Sheet4!HB12+Sheet4!HC12+Sheet4!HD12+Sheet4!HE12+Sheet4!HF12</f>
        <v>38515</v>
      </c>
      <c r="C12">
        <v>22800</v>
      </c>
      <c r="D12">
        <f t="shared" si="0"/>
        <v>15715</v>
      </c>
    </row>
    <row r="13" spans="1:4" x14ac:dyDescent="0.3">
      <c r="A13">
        <v>2001</v>
      </c>
      <c r="B13">
        <f>Sheet4!GZ13+Sheet4!HA13+Sheet4!HB13+Sheet4!HC13+Sheet4!HD13+Sheet4!HE13+Sheet4!HF13</f>
        <v>41171</v>
      </c>
      <c r="C13">
        <v>19500</v>
      </c>
      <c r="D13">
        <f t="shared" si="0"/>
        <v>21671</v>
      </c>
    </row>
    <row r="14" spans="1:4" x14ac:dyDescent="0.3">
      <c r="A14">
        <v>2002</v>
      </c>
      <c r="B14">
        <f>Sheet4!GZ14+Sheet4!HA14+Sheet4!HB14+Sheet4!HC14+Sheet4!HD14+Sheet4!HE14+Sheet4!HF14</f>
        <v>43785</v>
      </c>
      <c r="C14">
        <v>20000</v>
      </c>
      <c r="D14">
        <f t="shared" si="0"/>
        <v>23785</v>
      </c>
    </row>
    <row r="15" spans="1:4" x14ac:dyDescent="0.3">
      <c r="A15">
        <v>2003</v>
      </c>
      <c r="B15">
        <f>Sheet4!GZ15+Sheet4!HA15+Sheet4!HB15+Sheet4!HC15+Sheet4!HD15+Sheet4!HE15+Sheet4!HF15</f>
        <v>46497</v>
      </c>
      <c r="C15">
        <v>21200</v>
      </c>
      <c r="D15">
        <f t="shared" si="0"/>
        <v>25297</v>
      </c>
    </row>
    <row r="16" spans="1:4" x14ac:dyDescent="0.3">
      <c r="A16">
        <v>2004</v>
      </c>
      <c r="B16">
        <f>Sheet4!GZ16+Sheet4!HA16+Sheet4!HB16+Sheet4!HC16+Sheet4!HD16+Sheet4!HE16+Sheet4!HF16</f>
        <v>49254</v>
      </c>
      <c r="C16">
        <v>21000</v>
      </c>
      <c r="D16">
        <f t="shared" si="0"/>
        <v>28254</v>
      </c>
    </row>
    <row r="17" spans="1:4" x14ac:dyDescent="0.3">
      <c r="A17">
        <v>2005</v>
      </c>
      <c r="B17">
        <f>Sheet4!GZ17+Sheet4!HA17+Sheet4!HB17+Sheet4!HC17+Sheet4!HD17+Sheet4!HE17+Sheet4!HF17</f>
        <v>51919</v>
      </c>
      <c r="C17">
        <v>28500</v>
      </c>
      <c r="D17">
        <f t="shared" si="0"/>
        <v>23419</v>
      </c>
    </row>
    <row r="18" spans="1:4" x14ac:dyDescent="0.3">
      <c r="A18">
        <v>2006</v>
      </c>
      <c r="B18">
        <f>Sheet4!GZ18+Sheet4!HA18+Sheet4!HB18+Sheet4!HC18+Sheet4!HD18+Sheet4!HE18+Sheet4!HF18</f>
        <v>54661</v>
      </c>
      <c r="C18">
        <v>28600</v>
      </c>
      <c r="D18">
        <f t="shared" si="0"/>
        <v>26061</v>
      </c>
    </row>
    <row r="19" spans="1:4" x14ac:dyDescent="0.3">
      <c r="A19">
        <v>2007</v>
      </c>
      <c r="B19">
        <f>Sheet4!GZ19+Sheet4!HA19+Sheet4!HB19+Sheet4!HC19+Sheet4!HD19+Sheet4!HE19+Sheet4!HF19</f>
        <v>57340</v>
      </c>
      <c r="C19">
        <v>29800</v>
      </c>
      <c r="D19">
        <f t="shared" si="0"/>
        <v>27540</v>
      </c>
    </row>
    <row r="20" spans="1:4" x14ac:dyDescent="0.3">
      <c r="A20">
        <v>2008</v>
      </c>
      <c r="B20">
        <f>Sheet4!GZ20+Sheet4!HA20+Sheet4!HB20+Sheet4!HC20+Sheet4!HD20+Sheet4!HE20+Sheet4!HF20</f>
        <v>60040</v>
      </c>
      <c r="C20">
        <v>29200</v>
      </c>
      <c r="D20">
        <f t="shared" si="0"/>
        <v>30840</v>
      </c>
    </row>
    <row r="21" spans="1:4" x14ac:dyDescent="0.3">
      <c r="A21">
        <v>2009</v>
      </c>
      <c r="B21">
        <f>Sheet4!GZ21+Sheet4!HA21+Sheet4!HB21+Sheet4!HC21+Sheet4!HD21+Sheet4!HE21+Sheet4!HF21</f>
        <v>62798</v>
      </c>
      <c r="C21">
        <v>32400</v>
      </c>
      <c r="D21">
        <f t="shared" si="0"/>
        <v>30398</v>
      </c>
    </row>
    <row r="22" spans="1:4" x14ac:dyDescent="0.3">
      <c r="A22">
        <v>2010</v>
      </c>
      <c r="B22">
        <f>Sheet4!GZ22+Sheet4!HA22+Sheet4!HB22+Sheet4!HC22+Sheet4!HD22+Sheet4!HE22+Sheet4!HF22</f>
        <v>65551</v>
      </c>
      <c r="C22">
        <v>37200</v>
      </c>
      <c r="D22">
        <f t="shared" si="0"/>
        <v>28351</v>
      </c>
    </row>
    <row r="23" spans="1:4" x14ac:dyDescent="0.3">
      <c r="A23">
        <v>2011</v>
      </c>
      <c r="B23">
        <f>Sheet4!GZ23+Sheet4!HA23+Sheet4!HB23+Sheet4!HC23+Sheet4!HD23+Sheet4!HE23+Sheet4!HF23</f>
        <v>68434</v>
      </c>
      <c r="C23">
        <v>34600</v>
      </c>
      <c r="D23">
        <f t="shared" si="0"/>
        <v>33834</v>
      </c>
    </row>
    <row r="24" spans="1:4" x14ac:dyDescent="0.3">
      <c r="A24">
        <v>2012</v>
      </c>
      <c r="B24">
        <f>Sheet4!GZ24+Sheet4!HA24+Sheet4!HB24+Sheet4!HC24+Sheet4!HD24+Sheet4!HE24+Sheet4!HF24</f>
        <v>71267</v>
      </c>
      <c r="C24">
        <v>37400</v>
      </c>
      <c r="D24">
        <f t="shared" si="0"/>
        <v>33867</v>
      </c>
    </row>
    <row r="25" spans="1:4" x14ac:dyDescent="0.3">
      <c r="A25">
        <v>2013</v>
      </c>
      <c r="B25">
        <f>Sheet4!GZ25+Sheet4!HA25+Sheet4!HB25+Sheet4!HC25+Sheet4!HD25+Sheet4!HE25+Sheet4!HF25</f>
        <v>74130</v>
      </c>
      <c r="C25">
        <v>37000</v>
      </c>
      <c r="D25">
        <f t="shared" si="0"/>
        <v>37130</v>
      </c>
    </row>
    <row r="26" spans="1:4" x14ac:dyDescent="0.3">
      <c r="A26">
        <v>2014</v>
      </c>
      <c r="B26">
        <f>Sheet4!GZ26+Sheet4!HA26+Sheet4!HB26+Sheet4!HC26+Sheet4!HD26+Sheet4!HE26+Sheet4!HF26</f>
        <v>77064</v>
      </c>
      <c r="C26">
        <v>37300</v>
      </c>
      <c r="D26">
        <f t="shared" si="0"/>
        <v>39764</v>
      </c>
    </row>
    <row r="27" spans="1:4" x14ac:dyDescent="0.3">
      <c r="A27">
        <v>2015</v>
      </c>
      <c r="B27">
        <f>Sheet4!GZ27+Sheet4!HA27+Sheet4!HB27+Sheet4!HC27+Sheet4!HD27+Sheet4!HE27+Sheet4!HF27</f>
        <v>80104</v>
      </c>
      <c r="C27">
        <v>42800</v>
      </c>
      <c r="D27">
        <f t="shared" si="0"/>
        <v>37304</v>
      </c>
    </row>
    <row r="28" spans="1:4" x14ac:dyDescent="0.3">
      <c r="A28">
        <v>2016</v>
      </c>
      <c r="B28">
        <f>Sheet4!GZ28+Sheet4!HA28+Sheet4!HB28+Sheet4!HC28+Sheet4!HD28+Sheet4!HE28+Sheet4!HF28</f>
        <v>83142</v>
      </c>
      <c r="C28">
        <v>44100</v>
      </c>
      <c r="D28">
        <f t="shared" si="0"/>
        <v>39042</v>
      </c>
    </row>
    <row r="29" spans="1:4" x14ac:dyDescent="0.3">
      <c r="A29">
        <v>2017</v>
      </c>
      <c r="B29">
        <f>Sheet4!GZ29+Sheet4!HA29+Sheet4!HB29+Sheet4!HC29+Sheet4!HD29+Sheet4!HE29+Sheet4!HF29</f>
        <v>86186</v>
      </c>
      <c r="C29">
        <v>40900</v>
      </c>
      <c r="D29">
        <f t="shared" si="0"/>
        <v>45286</v>
      </c>
    </row>
    <row r="30" spans="1:4" x14ac:dyDescent="0.3">
      <c r="A30">
        <v>2018</v>
      </c>
      <c r="B30">
        <f>Sheet4!GZ30+Sheet4!HA30+Sheet4!HB30+Sheet4!HC30+Sheet4!HD30+Sheet4!HE30+Sheet4!HF30</f>
        <v>89219</v>
      </c>
      <c r="C30">
        <v>44100</v>
      </c>
      <c r="D30">
        <f t="shared" si="0"/>
        <v>45119</v>
      </c>
    </row>
    <row r="31" spans="1:4" x14ac:dyDescent="0.3">
      <c r="D31">
        <f>SUM(D2:D30)</f>
        <v>701562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workbookViewId="0">
      <selection activeCell="P31" sqref="P31"/>
    </sheetView>
  </sheetViews>
  <sheetFormatPr defaultRowHeight="14.4" x14ac:dyDescent="0.3"/>
  <sheetData>
    <row r="1" spans="1:4" x14ac:dyDescent="0.3">
      <c r="A1" t="s">
        <v>45</v>
      </c>
      <c r="B1" t="s">
        <v>46</v>
      </c>
      <c r="C1" t="s">
        <v>47</v>
      </c>
    </row>
    <row r="2" spans="1:4" x14ac:dyDescent="0.3">
      <c r="A2">
        <v>1990</v>
      </c>
      <c r="B2">
        <f>Sheet4!II2+Sheet4!IJ2+Sheet4!IK2+Sheet4!IL2+Sheet4!IM2+Sheet4!IN2+Sheet4!IO2</f>
        <v>219101</v>
      </c>
      <c r="C2">
        <v>219100</v>
      </c>
      <c r="D2">
        <f>ABS(C2-B2)</f>
        <v>1</v>
      </c>
    </row>
    <row r="3" spans="1:4" x14ac:dyDescent="0.3">
      <c r="A3">
        <v>1991</v>
      </c>
      <c r="B3">
        <f>Sheet4!II3+Sheet4!IJ3+Sheet4!IK3+Sheet4!IL3+Sheet4!IM3+Sheet4!IN3+Sheet4!IO3</f>
        <v>244036</v>
      </c>
      <c r="C3">
        <v>224800</v>
      </c>
      <c r="D3">
        <f t="shared" ref="D3:D30" si="0">ABS(C3-B3)</f>
        <v>19236</v>
      </c>
    </row>
    <row r="4" spans="1:4" x14ac:dyDescent="0.3">
      <c r="A4">
        <v>1992</v>
      </c>
      <c r="B4">
        <f>Sheet4!II4+Sheet4!IJ4+Sheet4!IK4+Sheet4!IL4+Sheet4!IM4+Sheet4!IN4+Sheet4!IO4</f>
        <v>270089</v>
      </c>
      <c r="C4">
        <v>234500</v>
      </c>
      <c r="D4">
        <f t="shared" si="0"/>
        <v>35589</v>
      </c>
    </row>
    <row r="5" spans="1:4" x14ac:dyDescent="0.3">
      <c r="A5">
        <v>1993</v>
      </c>
      <c r="B5">
        <f>Sheet4!II5+Sheet4!IJ5+Sheet4!IK5+Sheet4!IL5+Sheet4!IM5+Sheet4!IN5+Sheet4!IO5</f>
        <v>296983</v>
      </c>
      <c r="C5">
        <v>233500</v>
      </c>
      <c r="D5">
        <f t="shared" si="0"/>
        <v>63483</v>
      </c>
    </row>
    <row r="6" spans="1:4" x14ac:dyDescent="0.3">
      <c r="A6">
        <v>1994</v>
      </c>
      <c r="B6">
        <f>Sheet4!II6+Sheet4!IJ6+Sheet4!IK6+Sheet4!IL6+Sheet4!IM6+Sheet4!IN6+Sheet4!IO6</f>
        <v>299387</v>
      </c>
      <c r="C6">
        <v>236000</v>
      </c>
      <c r="D6">
        <f t="shared" si="0"/>
        <v>63387</v>
      </c>
    </row>
    <row r="7" spans="1:4" x14ac:dyDescent="0.3">
      <c r="A7">
        <v>1995</v>
      </c>
      <c r="B7">
        <f>Sheet4!II7+Sheet4!IJ7+Sheet4!IK7+Sheet4!IL7+Sheet4!IM7+Sheet4!IN7+Sheet4!IO7</f>
        <v>295055</v>
      </c>
      <c r="C7">
        <v>233600</v>
      </c>
      <c r="D7">
        <f t="shared" si="0"/>
        <v>61455</v>
      </c>
    </row>
    <row r="8" spans="1:4" x14ac:dyDescent="0.3">
      <c r="A8">
        <v>1996</v>
      </c>
      <c r="B8">
        <f>Sheet4!II8+Sheet4!IJ8+Sheet4!IK8+Sheet4!IL8+Sheet4!IM8+Sheet4!IN8+Sheet4!IO8</f>
        <v>290833</v>
      </c>
      <c r="C8">
        <v>238500</v>
      </c>
      <c r="D8">
        <f t="shared" si="0"/>
        <v>52333</v>
      </c>
    </row>
    <row r="9" spans="1:4" x14ac:dyDescent="0.3">
      <c r="A9">
        <v>1997</v>
      </c>
      <c r="B9">
        <f>Sheet4!II9+Sheet4!IJ9+Sheet4!IK9+Sheet4!IL9+Sheet4!IM9+Sheet4!IN9+Sheet4!IO9</f>
        <v>287211</v>
      </c>
      <c r="C9">
        <v>244600</v>
      </c>
      <c r="D9">
        <f t="shared" si="0"/>
        <v>42611</v>
      </c>
    </row>
    <row r="10" spans="1:4" x14ac:dyDescent="0.3">
      <c r="A10">
        <v>1998</v>
      </c>
      <c r="B10">
        <f>Sheet4!II10+Sheet4!IJ10+Sheet4!IK10+Sheet4!IL10+Sheet4!IM10+Sheet4!IN10+Sheet4!IO10</f>
        <v>284157</v>
      </c>
      <c r="C10">
        <v>248300</v>
      </c>
      <c r="D10">
        <f t="shared" si="0"/>
        <v>35857</v>
      </c>
    </row>
    <row r="11" spans="1:4" x14ac:dyDescent="0.3">
      <c r="A11">
        <v>1999</v>
      </c>
      <c r="B11">
        <f>Sheet4!II11+Sheet4!IJ11+Sheet4!IK11+Sheet4!IL11+Sheet4!IM11+Sheet4!IN11+Sheet4!IO11</f>
        <v>281542</v>
      </c>
      <c r="C11">
        <v>248800</v>
      </c>
      <c r="D11">
        <f t="shared" si="0"/>
        <v>32742</v>
      </c>
    </row>
    <row r="12" spans="1:4" x14ac:dyDescent="0.3">
      <c r="A12">
        <v>2000</v>
      </c>
      <c r="B12">
        <f>Sheet4!II12+Sheet4!IJ12+Sheet4!IK12+Sheet4!IL12+Sheet4!IM12+Sheet4!IN12+Sheet4!IO12</f>
        <v>283978</v>
      </c>
      <c r="C12">
        <v>246900</v>
      </c>
      <c r="D12">
        <f t="shared" si="0"/>
        <v>37078</v>
      </c>
    </row>
    <row r="13" spans="1:4" x14ac:dyDescent="0.3">
      <c r="A13">
        <v>2001</v>
      </c>
      <c r="B13">
        <f>Sheet4!II13+Sheet4!IJ13+Sheet4!IK13+Sheet4!IL13+Sheet4!IM13+Sheet4!IN13+Sheet4!IO13</f>
        <v>285832</v>
      </c>
      <c r="C13">
        <v>253000</v>
      </c>
      <c r="D13">
        <f t="shared" si="0"/>
        <v>32832</v>
      </c>
    </row>
    <row r="14" spans="1:4" x14ac:dyDescent="0.3">
      <c r="A14">
        <v>2002</v>
      </c>
      <c r="B14">
        <f>Sheet4!II14+Sheet4!IJ14+Sheet4!IK14+Sheet4!IL14+Sheet4!IM14+Sheet4!IN14+Sheet4!IO14</f>
        <v>285511</v>
      </c>
      <c r="C14">
        <v>266800</v>
      </c>
      <c r="D14">
        <f t="shared" si="0"/>
        <v>18711</v>
      </c>
    </row>
    <row r="15" spans="1:4" x14ac:dyDescent="0.3">
      <c r="A15">
        <v>2003</v>
      </c>
      <c r="B15">
        <f>Sheet4!II15+Sheet4!IJ15+Sheet4!IK15+Sheet4!IL15+Sheet4!IM15+Sheet4!IN15+Sheet4!IO15</f>
        <v>285801</v>
      </c>
      <c r="C15">
        <v>278000</v>
      </c>
      <c r="D15">
        <f t="shared" si="0"/>
        <v>7801</v>
      </c>
    </row>
    <row r="16" spans="1:4" x14ac:dyDescent="0.3">
      <c r="A16">
        <v>2004</v>
      </c>
      <c r="B16">
        <f>Sheet4!II16+Sheet4!IJ16+Sheet4!IK16+Sheet4!IL16+Sheet4!IM16+Sheet4!IN16+Sheet4!IO16</f>
        <v>285660</v>
      </c>
      <c r="C16">
        <v>277000</v>
      </c>
      <c r="D16">
        <f t="shared" si="0"/>
        <v>8660</v>
      </c>
    </row>
    <row r="17" spans="1:4" x14ac:dyDescent="0.3">
      <c r="A17">
        <v>2005</v>
      </c>
      <c r="B17">
        <f>Sheet4!II17+Sheet4!IJ17+Sheet4!IK17+Sheet4!IL17+Sheet4!IM17+Sheet4!IN17+Sheet4!IO17</f>
        <v>285592</v>
      </c>
      <c r="C17">
        <v>282500</v>
      </c>
      <c r="D17">
        <f t="shared" si="0"/>
        <v>3092</v>
      </c>
    </row>
    <row r="18" spans="1:4" x14ac:dyDescent="0.3">
      <c r="A18">
        <v>2006</v>
      </c>
      <c r="B18">
        <f>Sheet4!II18+Sheet4!IJ18+Sheet4!IK18+Sheet4!IL18+Sheet4!IM18+Sheet4!IN18+Sheet4!IO18</f>
        <v>264180</v>
      </c>
      <c r="C18">
        <v>298700</v>
      </c>
      <c r="D18">
        <f t="shared" si="0"/>
        <v>34520</v>
      </c>
    </row>
    <row r="19" spans="1:4" x14ac:dyDescent="0.3">
      <c r="A19">
        <v>2007</v>
      </c>
      <c r="B19">
        <f>Sheet4!II19+Sheet4!IJ19+Sheet4!IK19+Sheet4!IL19+Sheet4!IM19+Sheet4!IN19+Sheet4!IO19</f>
        <v>241741</v>
      </c>
      <c r="C19">
        <v>302000</v>
      </c>
      <c r="D19">
        <f t="shared" si="0"/>
        <v>60259</v>
      </c>
    </row>
    <row r="20" spans="1:4" x14ac:dyDescent="0.3">
      <c r="A20">
        <v>2008</v>
      </c>
      <c r="B20">
        <f>Sheet4!II20+Sheet4!IJ20+Sheet4!IK20+Sheet4!IL20+Sheet4!IM20+Sheet4!IN20+Sheet4!IO20</f>
        <v>220905</v>
      </c>
      <c r="C20">
        <v>302100</v>
      </c>
      <c r="D20">
        <f t="shared" si="0"/>
        <v>81195</v>
      </c>
    </row>
    <row r="21" spans="1:4" x14ac:dyDescent="0.3">
      <c r="A21">
        <v>2009</v>
      </c>
      <c r="B21">
        <f>Sheet4!II21+Sheet4!IJ21+Sheet4!IK21+Sheet4!IL21+Sheet4!IM21+Sheet4!IN21+Sheet4!IO21</f>
        <v>199781</v>
      </c>
      <c r="C21">
        <v>320600</v>
      </c>
      <c r="D21">
        <f t="shared" si="0"/>
        <v>120819</v>
      </c>
    </row>
    <row r="22" spans="1:4" x14ac:dyDescent="0.3">
      <c r="A22">
        <v>2010</v>
      </c>
      <c r="B22">
        <f>Sheet4!II22+Sheet4!IJ22+Sheet4!IK22+Sheet4!IL22+Sheet4!IM22+Sheet4!IN22+Sheet4!IO22</f>
        <v>208759</v>
      </c>
      <c r="C22">
        <v>343100</v>
      </c>
      <c r="D22">
        <f t="shared" si="0"/>
        <v>134341</v>
      </c>
    </row>
    <row r="23" spans="1:4" x14ac:dyDescent="0.3">
      <c r="A23">
        <v>2011</v>
      </c>
      <c r="B23">
        <f>Sheet4!II23+Sheet4!IJ23+Sheet4!IK23+Sheet4!IL23+Sheet4!IM23+Sheet4!IN23+Sheet4!IO23</f>
        <v>222006</v>
      </c>
      <c r="C23">
        <v>351100</v>
      </c>
      <c r="D23">
        <f t="shared" si="0"/>
        <v>129094</v>
      </c>
    </row>
    <row r="24" spans="1:4" x14ac:dyDescent="0.3">
      <c r="A24">
        <v>2012</v>
      </c>
      <c r="B24">
        <f>Sheet4!II24+Sheet4!IJ24+Sheet4!IK24+Sheet4!IL24+Sheet4!IM24+Sheet4!IN24+Sheet4!IO24</f>
        <v>241160</v>
      </c>
      <c r="C24">
        <v>355500</v>
      </c>
      <c r="D24">
        <f t="shared" si="0"/>
        <v>114340</v>
      </c>
    </row>
    <row r="25" spans="1:4" x14ac:dyDescent="0.3">
      <c r="A25">
        <v>2013</v>
      </c>
      <c r="B25">
        <f>Sheet4!II25+Sheet4!IJ25+Sheet4!IK25+Sheet4!IL25+Sheet4!IM25+Sheet4!IN25+Sheet4!IO25</f>
        <v>270456</v>
      </c>
      <c r="C25">
        <v>367300</v>
      </c>
      <c r="D25">
        <f t="shared" si="0"/>
        <v>96844</v>
      </c>
    </row>
    <row r="26" spans="1:4" x14ac:dyDescent="0.3">
      <c r="A26">
        <v>2014</v>
      </c>
      <c r="B26">
        <f>Sheet4!II26+Sheet4!IJ26+Sheet4!IK26+Sheet4!IL26+Sheet4!IM26+Sheet4!IN26+Sheet4!IO26</f>
        <v>302834</v>
      </c>
      <c r="C26">
        <v>389400</v>
      </c>
      <c r="D26">
        <f t="shared" si="0"/>
        <v>86566</v>
      </c>
    </row>
    <row r="27" spans="1:4" x14ac:dyDescent="0.3">
      <c r="A27">
        <v>2015</v>
      </c>
      <c r="B27">
        <f>Sheet4!II27+Sheet4!IJ27+Sheet4!IK27+Sheet4!IL27+Sheet4!IM27+Sheet4!IN27+Sheet4!IO27</f>
        <v>334143</v>
      </c>
      <c r="C27">
        <v>378700</v>
      </c>
      <c r="D27">
        <f t="shared" si="0"/>
        <v>44557</v>
      </c>
    </row>
    <row r="28" spans="1:4" x14ac:dyDescent="0.3">
      <c r="A28">
        <v>2016</v>
      </c>
      <c r="B28">
        <f>Sheet4!II28+Sheet4!IJ28+Sheet4!IK28+Sheet4!IL28+Sheet4!IM28+Sheet4!IN28+Sheet4!IO28</f>
        <v>351262</v>
      </c>
      <c r="C28">
        <v>389200</v>
      </c>
      <c r="D28">
        <f t="shared" si="0"/>
        <v>37938</v>
      </c>
    </row>
    <row r="29" spans="1:4" x14ac:dyDescent="0.3">
      <c r="A29">
        <v>2017</v>
      </c>
      <c r="B29">
        <f>Sheet4!II29+Sheet4!IJ29+Sheet4!IK29+Sheet4!IL29+Sheet4!IM29+Sheet4!IN29+Sheet4!IO29</f>
        <v>364780</v>
      </c>
      <c r="C29">
        <v>385500</v>
      </c>
      <c r="D29">
        <f t="shared" si="0"/>
        <v>20720</v>
      </c>
    </row>
    <row r="30" spans="1:4" x14ac:dyDescent="0.3">
      <c r="A30">
        <v>2018</v>
      </c>
      <c r="B30">
        <f>Sheet4!II30+Sheet4!IJ30+Sheet4!IK30+Sheet4!IL30+Sheet4!IM30+Sheet4!IN30+Sheet4!IO30</f>
        <v>367755</v>
      </c>
      <c r="C30">
        <v>394400</v>
      </c>
      <c r="D30">
        <f t="shared" si="0"/>
        <v>26645</v>
      </c>
    </row>
    <row r="31" spans="1:4" x14ac:dyDescent="0.3">
      <c r="D31">
        <f>SUM(D2:D30)</f>
        <v>1502706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workbookViewId="0">
      <selection activeCell="O32" sqref="O32"/>
    </sheetView>
  </sheetViews>
  <sheetFormatPr defaultRowHeight="14.4" x14ac:dyDescent="0.3"/>
  <sheetData>
    <row r="1" spans="1:4" x14ac:dyDescent="0.3">
      <c r="A1" t="s">
        <v>45</v>
      </c>
      <c r="B1" t="s">
        <v>46</v>
      </c>
      <c r="C1" t="s">
        <v>47</v>
      </c>
    </row>
    <row r="2" spans="1:4" x14ac:dyDescent="0.3">
      <c r="A2">
        <v>1990</v>
      </c>
      <c r="B2">
        <f>Sheet4!HU2+Sheet4!HV2+Sheet4!HW2+Sheet4!HX2+Sheet4!HY2+Sheet4!HZ2+Sheet4!IA2</f>
        <v>599822</v>
      </c>
      <c r="C2">
        <v>588200</v>
      </c>
      <c r="D2">
        <f>ABS(C2-B2)</f>
        <v>11622</v>
      </c>
    </row>
    <row r="3" spans="1:4" x14ac:dyDescent="0.3">
      <c r="A3">
        <v>1991</v>
      </c>
      <c r="B3">
        <f>Sheet4!HU3+Sheet4!HV3+Sheet4!HW3+Sheet4!HX3+Sheet4!HY3+Sheet4!HZ3+Sheet4!IA3</f>
        <v>591751</v>
      </c>
      <c r="C3">
        <v>617000</v>
      </c>
      <c r="D3">
        <f t="shared" ref="D3:D30" si="0">ABS(C3-B3)</f>
        <v>25249</v>
      </c>
    </row>
    <row r="4" spans="1:4" x14ac:dyDescent="0.3">
      <c r="A4">
        <v>1992</v>
      </c>
      <c r="B4">
        <f>Sheet4!HU4+Sheet4!HV4+Sheet4!HW4+Sheet4!HX4+Sheet4!HY4+Sheet4!HZ4+Sheet4!IA4</f>
        <v>583848</v>
      </c>
      <c r="C4">
        <v>634500</v>
      </c>
      <c r="D4">
        <f t="shared" si="0"/>
        <v>50652</v>
      </c>
    </row>
    <row r="5" spans="1:4" x14ac:dyDescent="0.3">
      <c r="A5">
        <v>1993</v>
      </c>
      <c r="B5">
        <f>Sheet4!HU5+Sheet4!HV5+Sheet4!HW5+Sheet4!HX5+Sheet4!HY5+Sheet4!HZ5+Sheet4!IA5</f>
        <v>575835</v>
      </c>
      <c r="C5">
        <v>651200</v>
      </c>
      <c r="D5">
        <f t="shared" si="0"/>
        <v>75365</v>
      </c>
    </row>
    <row r="6" spans="1:4" x14ac:dyDescent="0.3">
      <c r="A6">
        <v>1994</v>
      </c>
      <c r="B6">
        <f>Sheet4!HU6+Sheet4!HV6+Sheet4!HW6+Sheet4!HX6+Sheet4!HY6+Sheet4!HZ6+Sheet4!IA6</f>
        <v>592639</v>
      </c>
      <c r="C6">
        <v>674100</v>
      </c>
      <c r="D6">
        <f t="shared" si="0"/>
        <v>81461</v>
      </c>
    </row>
    <row r="7" spans="1:4" x14ac:dyDescent="0.3">
      <c r="A7">
        <v>1995</v>
      </c>
      <c r="B7">
        <f>Sheet4!HU7+Sheet4!HV7+Sheet4!HW7+Sheet4!HX7+Sheet4!HY7+Sheet4!HZ7+Sheet4!IA7</f>
        <v>616303</v>
      </c>
      <c r="C7">
        <v>690600</v>
      </c>
      <c r="D7">
        <f t="shared" si="0"/>
        <v>74297</v>
      </c>
    </row>
    <row r="8" spans="1:4" x14ac:dyDescent="0.3">
      <c r="A8">
        <v>1996</v>
      </c>
      <c r="B8">
        <f>Sheet4!HU8+Sheet4!HV8+Sheet4!HW8+Sheet4!HX8+Sheet4!HY8+Sheet4!HZ8+Sheet4!IA8</f>
        <v>639730</v>
      </c>
      <c r="C8">
        <v>709900</v>
      </c>
      <c r="D8">
        <f t="shared" si="0"/>
        <v>70170</v>
      </c>
    </row>
    <row r="9" spans="1:4" x14ac:dyDescent="0.3">
      <c r="A9">
        <v>1997</v>
      </c>
      <c r="B9">
        <f>Sheet4!HU9+Sheet4!HV9+Sheet4!HW9+Sheet4!HX9+Sheet4!HY9+Sheet4!HZ9+Sheet4!IA9</f>
        <v>662201</v>
      </c>
      <c r="C9">
        <v>739500</v>
      </c>
      <c r="D9">
        <f t="shared" si="0"/>
        <v>77299</v>
      </c>
    </row>
    <row r="10" spans="1:4" x14ac:dyDescent="0.3">
      <c r="A10">
        <v>1998</v>
      </c>
      <c r="B10">
        <f>Sheet4!HU10+Sheet4!HV10+Sheet4!HW10+Sheet4!HX10+Sheet4!HY10+Sheet4!HZ10+Sheet4!IA10</f>
        <v>683729</v>
      </c>
      <c r="C10">
        <v>757800</v>
      </c>
      <c r="D10">
        <f t="shared" si="0"/>
        <v>74071</v>
      </c>
    </row>
    <row r="11" spans="1:4" x14ac:dyDescent="0.3">
      <c r="A11">
        <v>1999</v>
      </c>
      <c r="B11">
        <f>Sheet4!HU11+Sheet4!HV11+Sheet4!HW11+Sheet4!HX11+Sheet4!HY11+Sheet4!HZ11+Sheet4!IA11</f>
        <v>704581</v>
      </c>
      <c r="C11">
        <v>759700</v>
      </c>
      <c r="D11">
        <f t="shared" si="0"/>
        <v>55119</v>
      </c>
    </row>
    <row r="12" spans="1:4" x14ac:dyDescent="0.3">
      <c r="A12">
        <v>2000</v>
      </c>
      <c r="B12">
        <f>Sheet4!HU12+Sheet4!HV12+Sheet4!HW12+Sheet4!HX12+Sheet4!HY12+Sheet4!HZ12+Sheet4!IA12</f>
        <v>724954</v>
      </c>
      <c r="C12">
        <v>771400</v>
      </c>
      <c r="D12">
        <f t="shared" si="0"/>
        <v>46446</v>
      </c>
    </row>
    <row r="13" spans="1:4" x14ac:dyDescent="0.3">
      <c r="A13">
        <v>2001</v>
      </c>
      <c r="B13">
        <f>Sheet4!HU13+Sheet4!HV13+Sheet4!HW13+Sheet4!HX13+Sheet4!HY13+Sheet4!HZ13+Sheet4!IA13</f>
        <v>744736</v>
      </c>
      <c r="C13">
        <v>781900</v>
      </c>
      <c r="D13">
        <f t="shared" si="0"/>
        <v>37164</v>
      </c>
    </row>
    <row r="14" spans="1:4" x14ac:dyDescent="0.3">
      <c r="A14">
        <v>2002</v>
      </c>
      <c r="B14">
        <f>Sheet4!HU14+Sheet4!HV14+Sheet4!HW14+Sheet4!HX14+Sheet4!HY14+Sheet4!HZ14+Sheet4!IA14</f>
        <v>763444</v>
      </c>
      <c r="C14">
        <v>807600</v>
      </c>
      <c r="D14">
        <f t="shared" si="0"/>
        <v>44156</v>
      </c>
    </row>
    <row r="15" spans="1:4" x14ac:dyDescent="0.3">
      <c r="A15">
        <v>2003</v>
      </c>
      <c r="B15">
        <f>Sheet4!HU15+Sheet4!HV15+Sheet4!HW15+Sheet4!HX15+Sheet4!HY15+Sheet4!HZ15+Sheet4!IA15</f>
        <v>782183</v>
      </c>
      <c r="C15">
        <v>824100</v>
      </c>
      <c r="D15">
        <f t="shared" si="0"/>
        <v>41917</v>
      </c>
    </row>
    <row r="16" spans="1:4" x14ac:dyDescent="0.3">
      <c r="A16">
        <v>2004</v>
      </c>
      <c r="B16">
        <f>Sheet4!HU16+Sheet4!HV16+Sheet4!HW16+Sheet4!HX16+Sheet4!HY16+Sheet4!HZ16+Sheet4!IA16</f>
        <v>800641</v>
      </c>
      <c r="C16">
        <v>831700</v>
      </c>
      <c r="D16">
        <f t="shared" si="0"/>
        <v>31059</v>
      </c>
    </row>
    <row r="17" spans="1:4" x14ac:dyDescent="0.3">
      <c r="A17">
        <v>2005</v>
      </c>
      <c r="B17">
        <f>Sheet4!HU17+Sheet4!HV17+Sheet4!HW17+Sheet4!HX17+Sheet4!HY17+Sheet4!HZ17+Sheet4!IA17</f>
        <v>820253</v>
      </c>
      <c r="C17">
        <v>852700</v>
      </c>
      <c r="D17">
        <f t="shared" si="0"/>
        <v>32447</v>
      </c>
    </row>
    <row r="18" spans="1:4" x14ac:dyDescent="0.3">
      <c r="A18">
        <v>2006</v>
      </c>
      <c r="B18">
        <f>Sheet4!HU18+Sheet4!HV18+Sheet4!HW18+Sheet4!HX18+Sheet4!HY18+Sheet4!HZ18+Sheet4!IA18</f>
        <v>862192</v>
      </c>
      <c r="C18">
        <v>873900</v>
      </c>
      <c r="D18">
        <f t="shared" si="0"/>
        <v>11708</v>
      </c>
    </row>
    <row r="19" spans="1:4" x14ac:dyDescent="0.3">
      <c r="A19">
        <v>2007</v>
      </c>
      <c r="B19">
        <f>Sheet4!HU19+Sheet4!HV19+Sheet4!HW19+Sheet4!HX19+Sheet4!HY19+Sheet4!HZ19+Sheet4!IA19</f>
        <v>905539</v>
      </c>
      <c r="C19">
        <v>891900</v>
      </c>
      <c r="D19">
        <f t="shared" si="0"/>
        <v>13639</v>
      </c>
    </row>
    <row r="20" spans="1:4" x14ac:dyDescent="0.3">
      <c r="A20">
        <v>2008</v>
      </c>
      <c r="B20">
        <f>Sheet4!HU20+Sheet4!HV20+Sheet4!HW20+Sheet4!HX20+Sheet4!HY20+Sheet4!HZ20+Sheet4!IA20</f>
        <v>949832</v>
      </c>
      <c r="C20">
        <v>887000</v>
      </c>
      <c r="D20">
        <f t="shared" si="0"/>
        <v>62832</v>
      </c>
    </row>
    <row r="21" spans="1:4" x14ac:dyDescent="0.3">
      <c r="A21">
        <v>2009</v>
      </c>
      <c r="B21">
        <f>Sheet4!HU21+Sheet4!HV21+Sheet4!HW21+Sheet4!HX21+Sheet4!HY21+Sheet4!HZ21+Sheet4!IA21</f>
        <v>995164</v>
      </c>
      <c r="C21">
        <v>917700</v>
      </c>
      <c r="D21">
        <f t="shared" si="0"/>
        <v>77464</v>
      </c>
    </row>
    <row r="22" spans="1:4" x14ac:dyDescent="0.3">
      <c r="A22">
        <v>2010</v>
      </c>
      <c r="B22">
        <f>Sheet4!HU22+Sheet4!HV22+Sheet4!HW22+Sheet4!HX22+Sheet4!HY22+Sheet4!HZ22+Sheet4!IA22</f>
        <v>1041931</v>
      </c>
      <c r="C22">
        <v>915700</v>
      </c>
      <c r="D22">
        <f t="shared" si="0"/>
        <v>126231</v>
      </c>
    </row>
    <row r="23" spans="1:4" x14ac:dyDescent="0.3">
      <c r="A23">
        <v>2011</v>
      </c>
      <c r="B23">
        <f>Sheet4!HU23+Sheet4!HV23+Sheet4!HW23+Sheet4!HX23+Sheet4!HY23+Sheet4!HZ23+Sheet4!IA23</f>
        <v>1068668</v>
      </c>
      <c r="C23">
        <v>931400</v>
      </c>
      <c r="D23">
        <f t="shared" si="0"/>
        <v>137268</v>
      </c>
    </row>
    <row r="24" spans="1:4" x14ac:dyDescent="0.3">
      <c r="A24">
        <v>2012</v>
      </c>
      <c r="B24">
        <f>Sheet4!HU24+Sheet4!HV24+Sheet4!HW24+Sheet4!HX24+Sheet4!HY24+Sheet4!HZ24+Sheet4!IA24</f>
        <v>1096519</v>
      </c>
      <c r="C24">
        <v>946500</v>
      </c>
      <c r="D24">
        <f t="shared" si="0"/>
        <v>150019</v>
      </c>
    </row>
    <row r="25" spans="1:4" x14ac:dyDescent="0.3">
      <c r="A25">
        <v>2013</v>
      </c>
      <c r="B25">
        <f>Sheet4!HU25+Sheet4!HV25+Sheet4!HW25+Sheet4!HX25+Sheet4!HY25+Sheet4!HZ25+Sheet4!IA25</f>
        <v>1125526</v>
      </c>
      <c r="C25">
        <v>948200</v>
      </c>
      <c r="D25">
        <f t="shared" si="0"/>
        <v>177326</v>
      </c>
    </row>
    <row r="26" spans="1:4" x14ac:dyDescent="0.3">
      <c r="A26">
        <v>2014</v>
      </c>
      <c r="B26">
        <f>Sheet4!HU26+Sheet4!HV26+Sheet4!HW26+Sheet4!HX26+Sheet4!HY26+Sheet4!HZ26+Sheet4!IA26</f>
        <v>1154180</v>
      </c>
      <c r="C26">
        <v>959000</v>
      </c>
      <c r="D26">
        <f t="shared" si="0"/>
        <v>195180</v>
      </c>
    </row>
    <row r="27" spans="1:4" x14ac:dyDescent="0.3">
      <c r="A27">
        <v>2015</v>
      </c>
      <c r="B27">
        <f>Sheet4!HU27+Sheet4!HV27+Sheet4!HW27+Sheet4!HX27+Sheet4!HY27+Sheet4!HZ27+Sheet4!IA27</f>
        <v>1183408</v>
      </c>
      <c r="C27">
        <v>960700</v>
      </c>
      <c r="D27">
        <f t="shared" si="0"/>
        <v>222708</v>
      </c>
    </row>
    <row r="28" spans="1:4" x14ac:dyDescent="0.3">
      <c r="A28">
        <v>2016</v>
      </c>
      <c r="B28">
        <f>Sheet4!HU28+Sheet4!HV28+Sheet4!HW28+Sheet4!HX28+Sheet4!HY28+Sheet4!HZ28+Sheet4!IA28</f>
        <v>1193472</v>
      </c>
      <c r="C28">
        <v>980600</v>
      </c>
      <c r="D28">
        <f t="shared" si="0"/>
        <v>212872</v>
      </c>
    </row>
    <row r="29" spans="1:4" x14ac:dyDescent="0.3">
      <c r="A29">
        <v>2017</v>
      </c>
      <c r="B29">
        <f>Sheet4!HU29+Sheet4!HV29+Sheet4!HW29+Sheet4!HX29+Sheet4!HY29+Sheet4!HZ29+Sheet4!IA29</f>
        <v>1202120</v>
      </c>
      <c r="C29">
        <v>992000</v>
      </c>
      <c r="D29">
        <f t="shared" si="0"/>
        <v>210120</v>
      </c>
    </row>
    <row r="30" spans="1:4" x14ac:dyDescent="0.3">
      <c r="A30">
        <v>2018</v>
      </c>
      <c r="B30">
        <f>Sheet4!HU30+Sheet4!HV30+Sheet4!HW30+Sheet4!HX30+Sheet4!HY30+Sheet4!HZ30+Sheet4!IA30</f>
        <v>1218671</v>
      </c>
      <c r="C30">
        <v>1001500</v>
      </c>
      <c r="D30">
        <f t="shared" si="0"/>
        <v>217171</v>
      </c>
    </row>
    <row r="31" spans="1:4" x14ac:dyDescent="0.3">
      <c r="D31">
        <f>SUM(D2:D30)</f>
        <v>2643032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workbookViewId="0">
      <selection activeCell="P32" sqref="P32"/>
    </sheetView>
  </sheetViews>
  <sheetFormatPr defaultRowHeight="14.4" x14ac:dyDescent="0.3"/>
  <sheetData>
    <row r="1" spans="1:4" x14ac:dyDescent="0.3">
      <c r="A1" t="s">
        <v>45</v>
      </c>
      <c r="B1" t="s">
        <v>46</v>
      </c>
      <c r="C1" t="s">
        <v>47</v>
      </c>
    </row>
    <row r="2" spans="1:4" x14ac:dyDescent="0.3">
      <c r="A2">
        <v>1990</v>
      </c>
      <c r="B2">
        <f>Sheet4!HG2+Sheet4!HH2+Sheet4!HI2+Sheet4!HJ2+Sheet4!HK2+Sheet4!HL2+Sheet4!HM2</f>
        <v>17701</v>
      </c>
      <c r="C2">
        <v>17700</v>
      </c>
      <c r="D2">
        <f>ABS(B2-C2)</f>
        <v>1</v>
      </c>
    </row>
    <row r="3" spans="1:4" x14ac:dyDescent="0.3">
      <c r="A3">
        <v>1991</v>
      </c>
      <c r="B3">
        <f>Sheet4!HG3+Sheet4!HH3+Sheet4!HI3+Sheet4!HJ3+Sheet4!HK3+Sheet4!HL3+Sheet4!HM3</f>
        <v>21507</v>
      </c>
      <c r="C3">
        <v>21100</v>
      </c>
      <c r="D3">
        <f t="shared" ref="D3:D30" si="0">ABS(B3-C3)</f>
        <v>407</v>
      </c>
    </row>
    <row r="4" spans="1:4" x14ac:dyDescent="0.3">
      <c r="A4">
        <v>1992</v>
      </c>
      <c r="B4">
        <f>Sheet4!HG4+Sheet4!HH4+Sheet4!HI4+Sheet4!HJ4+Sheet4!HK4+Sheet4!HL4+Sheet4!HM4</f>
        <v>25212</v>
      </c>
      <c r="C4">
        <v>22000</v>
      </c>
      <c r="D4">
        <f t="shared" si="0"/>
        <v>3212</v>
      </c>
    </row>
    <row r="5" spans="1:4" x14ac:dyDescent="0.3">
      <c r="A5">
        <v>1993</v>
      </c>
      <c r="B5">
        <f>Sheet4!HG5+Sheet4!HH5+Sheet4!HI5+Sheet4!HJ5+Sheet4!HK5+Sheet4!HL5+Sheet4!HM5</f>
        <v>28786</v>
      </c>
      <c r="C5">
        <v>23700</v>
      </c>
      <c r="D5">
        <f t="shared" si="0"/>
        <v>5086</v>
      </c>
    </row>
    <row r="6" spans="1:4" x14ac:dyDescent="0.3">
      <c r="A6">
        <v>1994</v>
      </c>
      <c r="B6">
        <f>Sheet4!HG6+Sheet4!HH6+Sheet4!HI6+Sheet4!HJ6+Sheet4!HK6+Sheet4!HL6+Sheet4!HM6</f>
        <v>32163</v>
      </c>
      <c r="C6">
        <v>23900</v>
      </c>
      <c r="D6">
        <f t="shared" si="0"/>
        <v>8263</v>
      </c>
    </row>
    <row r="7" spans="1:4" x14ac:dyDescent="0.3">
      <c r="A7">
        <v>1995</v>
      </c>
      <c r="B7">
        <f>Sheet4!HG7+Sheet4!HH7+Sheet4!HI7+Sheet4!HJ7+Sheet4!HK7+Sheet4!HL7+Sheet4!HM7</f>
        <v>35302</v>
      </c>
      <c r="C7">
        <v>26200</v>
      </c>
      <c r="D7">
        <f t="shared" si="0"/>
        <v>9102</v>
      </c>
    </row>
    <row r="8" spans="1:4" x14ac:dyDescent="0.3">
      <c r="A8">
        <v>1996</v>
      </c>
      <c r="B8">
        <f>Sheet4!HG8+Sheet4!HH8+Sheet4!HI8+Sheet4!HJ8+Sheet4!HK8+Sheet4!HL8+Sheet4!HM8</f>
        <v>38406</v>
      </c>
      <c r="C8">
        <v>27400</v>
      </c>
      <c r="D8">
        <f t="shared" si="0"/>
        <v>11006</v>
      </c>
    </row>
    <row r="9" spans="1:4" x14ac:dyDescent="0.3">
      <c r="A9">
        <v>1997</v>
      </c>
      <c r="B9">
        <f>Sheet4!HG9+Sheet4!HH9+Sheet4!HI9+Sheet4!HJ9+Sheet4!HK9+Sheet4!HL9+Sheet4!HM9</f>
        <v>41222</v>
      </c>
      <c r="C9">
        <v>26300</v>
      </c>
      <c r="D9">
        <f t="shared" si="0"/>
        <v>14922</v>
      </c>
    </row>
    <row r="10" spans="1:4" x14ac:dyDescent="0.3">
      <c r="A10">
        <v>1998</v>
      </c>
      <c r="B10">
        <f>Sheet4!HG10+Sheet4!HH10+Sheet4!HI10+Sheet4!HJ10+Sheet4!HK10+Sheet4!HL10+Sheet4!HM10</f>
        <v>43972</v>
      </c>
      <c r="C10">
        <v>25500</v>
      </c>
      <c r="D10">
        <f t="shared" si="0"/>
        <v>18472</v>
      </c>
    </row>
    <row r="11" spans="1:4" x14ac:dyDescent="0.3">
      <c r="A11">
        <v>1999</v>
      </c>
      <c r="B11">
        <f>Sheet4!HG11+Sheet4!HH11+Sheet4!HI11+Sheet4!HJ11+Sheet4!HK11+Sheet4!HL11+Sheet4!HM11</f>
        <v>46574</v>
      </c>
      <c r="C11">
        <v>31100</v>
      </c>
      <c r="D11">
        <f t="shared" si="0"/>
        <v>15474</v>
      </c>
    </row>
    <row r="12" spans="1:4" x14ac:dyDescent="0.3">
      <c r="A12">
        <v>2000</v>
      </c>
      <c r="B12">
        <f>Sheet4!HG12+Sheet4!HH12+Sheet4!HI12+Sheet4!HJ12+Sheet4!HK12+Sheet4!HL12+Sheet4!HM12</f>
        <v>46408</v>
      </c>
      <c r="C12">
        <v>38900</v>
      </c>
      <c r="D12">
        <f t="shared" si="0"/>
        <v>7508</v>
      </c>
    </row>
    <row r="13" spans="1:4" x14ac:dyDescent="0.3">
      <c r="A13">
        <v>2001</v>
      </c>
      <c r="B13">
        <f>Sheet4!HG13+Sheet4!HH13+Sheet4!HI13+Sheet4!HJ13+Sheet4!HK13+Sheet4!HL13+Sheet4!HM13</f>
        <v>46724</v>
      </c>
      <c r="C13">
        <v>39000</v>
      </c>
      <c r="D13">
        <f t="shared" si="0"/>
        <v>7724</v>
      </c>
    </row>
    <row r="14" spans="1:4" x14ac:dyDescent="0.3">
      <c r="A14">
        <v>2002</v>
      </c>
      <c r="B14">
        <f>Sheet4!HG14+Sheet4!HH14+Sheet4!HI14+Sheet4!HJ14+Sheet4!HK14+Sheet4!HL14+Sheet4!HM14</f>
        <v>48516</v>
      </c>
      <c r="C14">
        <v>38100</v>
      </c>
      <c r="D14">
        <f t="shared" si="0"/>
        <v>10416</v>
      </c>
    </row>
    <row r="15" spans="1:4" x14ac:dyDescent="0.3">
      <c r="A15">
        <v>2003</v>
      </c>
      <c r="B15">
        <f>Sheet4!HG15+Sheet4!HH15+Sheet4!HI15+Sheet4!HJ15+Sheet4!HK15+Sheet4!HL15+Sheet4!HM15</f>
        <v>49559</v>
      </c>
      <c r="C15">
        <v>40600</v>
      </c>
      <c r="D15">
        <f t="shared" si="0"/>
        <v>8959</v>
      </c>
    </row>
    <row r="16" spans="1:4" x14ac:dyDescent="0.3">
      <c r="A16">
        <v>2004</v>
      </c>
      <c r="B16">
        <f>Sheet4!HG16+Sheet4!HH16+Sheet4!HI16+Sheet4!HJ16+Sheet4!HK16+Sheet4!HL16+Sheet4!HM16</f>
        <v>51224</v>
      </c>
      <c r="C16">
        <v>45200</v>
      </c>
      <c r="D16">
        <f t="shared" si="0"/>
        <v>6024</v>
      </c>
    </row>
    <row r="17" spans="1:4" x14ac:dyDescent="0.3">
      <c r="A17">
        <v>2005</v>
      </c>
      <c r="B17">
        <f>Sheet4!HG17+Sheet4!HH17+Sheet4!HI17+Sheet4!HJ17+Sheet4!HK17+Sheet4!HL17+Sheet4!HM17</f>
        <v>51905</v>
      </c>
      <c r="C17">
        <v>47800</v>
      </c>
      <c r="D17">
        <f t="shared" si="0"/>
        <v>4105</v>
      </c>
    </row>
    <row r="18" spans="1:4" x14ac:dyDescent="0.3">
      <c r="A18">
        <v>2006</v>
      </c>
      <c r="B18">
        <f>Sheet4!HG18+Sheet4!HH18+Sheet4!HI18+Sheet4!HJ18+Sheet4!HK18+Sheet4!HL18+Sheet4!HM18</f>
        <v>51857</v>
      </c>
      <c r="C18">
        <v>53000</v>
      </c>
      <c r="D18">
        <f t="shared" si="0"/>
        <v>1143</v>
      </c>
    </row>
    <row r="19" spans="1:4" x14ac:dyDescent="0.3">
      <c r="A19">
        <v>2007</v>
      </c>
      <c r="B19">
        <f>Sheet4!HG19+Sheet4!HH19+Sheet4!HI19+Sheet4!HJ19+Sheet4!HK19+Sheet4!HL19+Sheet4!HM19</f>
        <v>51708</v>
      </c>
      <c r="C19">
        <v>54000</v>
      </c>
      <c r="D19">
        <f t="shared" si="0"/>
        <v>2292</v>
      </c>
    </row>
    <row r="20" spans="1:4" x14ac:dyDescent="0.3">
      <c r="A20">
        <v>2008</v>
      </c>
      <c r="B20">
        <f>Sheet4!HG20+Sheet4!HH20+Sheet4!HI20+Sheet4!HJ20+Sheet4!HK20+Sheet4!HL20+Sheet4!HM20</f>
        <v>49481</v>
      </c>
      <c r="C20">
        <v>60100</v>
      </c>
      <c r="D20">
        <f t="shared" si="0"/>
        <v>10619</v>
      </c>
    </row>
    <row r="21" spans="1:4" x14ac:dyDescent="0.3">
      <c r="A21">
        <v>2009</v>
      </c>
      <c r="B21">
        <f>Sheet4!HG21+Sheet4!HH21+Sheet4!HI21+Sheet4!HJ21+Sheet4!HK21+Sheet4!HL21+Sheet4!HM21</f>
        <v>46607</v>
      </c>
      <c r="C21">
        <v>60800</v>
      </c>
      <c r="D21">
        <f t="shared" si="0"/>
        <v>14193</v>
      </c>
    </row>
    <row r="22" spans="1:4" x14ac:dyDescent="0.3">
      <c r="A22">
        <v>2010</v>
      </c>
      <c r="B22">
        <f>Sheet4!HG22+Sheet4!HH22+Sheet4!HI22+Sheet4!HJ22+Sheet4!HK22+Sheet4!HL22+Sheet4!HM22</f>
        <v>39951</v>
      </c>
      <c r="C22">
        <v>66000</v>
      </c>
      <c r="D22">
        <f t="shared" si="0"/>
        <v>26049</v>
      </c>
    </row>
    <row r="23" spans="1:4" x14ac:dyDescent="0.3">
      <c r="A23">
        <v>2011</v>
      </c>
      <c r="B23">
        <f>Sheet4!HG23+Sheet4!HH23+Sheet4!HI23+Sheet4!HJ23+Sheet4!HK23+Sheet4!HL23+Sheet4!HM23</f>
        <v>31216</v>
      </c>
      <c r="C23">
        <v>68400</v>
      </c>
      <c r="D23">
        <f t="shared" si="0"/>
        <v>37184</v>
      </c>
    </row>
    <row r="24" spans="1:4" x14ac:dyDescent="0.3">
      <c r="A24">
        <v>2012</v>
      </c>
      <c r="B24">
        <f>Sheet4!HG24+Sheet4!HH24+Sheet4!HI24+Sheet4!HJ24+Sheet4!HK24+Sheet4!HL24+Sheet4!HM24</f>
        <v>18951</v>
      </c>
      <c r="C24">
        <v>71700</v>
      </c>
      <c r="D24">
        <f t="shared" si="0"/>
        <v>52749</v>
      </c>
    </row>
    <row r="25" spans="1:4" x14ac:dyDescent="0.3">
      <c r="A25">
        <v>2013</v>
      </c>
      <c r="B25">
        <f>Sheet4!HG25+Sheet4!HH25+Sheet4!HI25+Sheet4!HJ25+Sheet4!HK25+Sheet4!HL25+Sheet4!HM25</f>
        <v>10053</v>
      </c>
      <c r="C25">
        <v>70200</v>
      </c>
      <c r="D25">
        <f t="shared" si="0"/>
        <v>60147</v>
      </c>
    </row>
    <row r="26" spans="1:4" x14ac:dyDescent="0.3">
      <c r="A26">
        <v>2014</v>
      </c>
      <c r="B26">
        <f>Sheet4!HG26+Sheet4!HH26+Sheet4!HI26+Sheet4!HJ26+Sheet4!HK26+Sheet4!HL26+Sheet4!HM26</f>
        <v>4755</v>
      </c>
      <c r="C26">
        <v>73300</v>
      </c>
      <c r="D26">
        <f t="shared" si="0"/>
        <v>68545</v>
      </c>
    </row>
    <row r="27" spans="1:4" x14ac:dyDescent="0.3">
      <c r="A27">
        <v>2015</v>
      </c>
      <c r="B27">
        <f>Sheet4!HG27+Sheet4!HH27+Sheet4!HI27+Sheet4!HJ27+Sheet4!HK27+Sheet4!HL27+Sheet4!HM27</f>
        <v>2517</v>
      </c>
      <c r="C27">
        <v>80900</v>
      </c>
      <c r="D27">
        <f t="shared" si="0"/>
        <v>78383</v>
      </c>
    </row>
    <row r="28" spans="1:4" x14ac:dyDescent="0.3">
      <c r="A28">
        <v>2016</v>
      </c>
      <c r="B28">
        <f>Sheet4!HG28+Sheet4!HH28+Sheet4!HI28+Sheet4!HJ28+Sheet4!HK28+Sheet4!HL28+Sheet4!HM28</f>
        <v>117</v>
      </c>
      <c r="C28">
        <v>75900</v>
      </c>
      <c r="D28">
        <f t="shared" si="0"/>
        <v>75783</v>
      </c>
    </row>
    <row r="29" spans="1:4" x14ac:dyDescent="0.3">
      <c r="A29">
        <v>2017</v>
      </c>
      <c r="B29">
        <f>Sheet4!HG29+Sheet4!HH29+Sheet4!HI29+Sheet4!HJ29+Sheet4!HK29+Sheet4!HL29+Sheet4!HM29</f>
        <v>32</v>
      </c>
      <c r="C29">
        <v>79000</v>
      </c>
      <c r="D29">
        <f t="shared" si="0"/>
        <v>78968</v>
      </c>
    </row>
    <row r="30" spans="1:4" x14ac:dyDescent="0.3">
      <c r="A30">
        <v>2018</v>
      </c>
      <c r="B30">
        <f>Sheet4!HG30+Sheet4!HH30+Sheet4!HI30+Sheet4!HJ30+Sheet4!HK30+Sheet4!HL30+Sheet4!HM30</f>
        <v>0</v>
      </c>
      <c r="C30">
        <v>87900</v>
      </c>
      <c r="D30">
        <f t="shared" si="0"/>
        <v>87900</v>
      </c>
    </row>
    <row r="31" spans="1:4" x14ac:dyDescent="0.3">
      <c r="D31">
        <f>SUM(D2:D30)</f>
        <v>724636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workbookViewId="0">
      <selection activeCell="P36" sqref="P36"/>
    </sheetView>
  </sheetViews>
  <sheetFormatPr defaultRowHeight="14.4" x14ac:dyDescent="0.3"/>
  <sheetData>
    <row r="1" spans="1:4" x14ac:dyDescent="0.3">
      <c r="A1" t="s">
        <v>45</v>
      </c>
      <c r="B1" t="s">
        <v>46</v>
      </c>
      <c r="C1" t="s">
        <v>47</v>
      </c>
    </row>
    <row r="2" spans="1:4" x14ac:dyDescent="0.3">
      <c r="A2">
        <v>1990</v>
      </c>
      <c r="B2">
        <f>Sheet4!IW2+Sheet4!IX2+Sheet4!IY2+Sheet4!IZ2+Sheet4!JA2+Sheet4!JB2+Sheet4!JC2</f>
        <v>100901</v>
      </c>
      <c r="C2">
        <v>101300</v>
      </c>
      <c r="D2">
        <f>ABS(C2-B2)</f>
        <v>399</v>
      </c>
    </row>
    <row r="3" spans="1:4" x14ac:dyDescent="0.3">
      <c r="A3">
        <v>1991</v>
      </c>
      <c r="B3">
        <f>Sheet4!IW3+Sheet4!IX3+Sheet4!IY3+Sheet4!IZ3+Sheet4!JA3+Sheet4!JB3+Sheet4!JC3</f>
        <v>102239</v>
      </c>
      <c r="C3">
        <v>101100</v>
      </c>
      <c r="D3">
        <f t="shared" ref="D3:D30" si="0">ABS(C3-B3)</f>
        <v>1139</v>
      </c>
    </row>
    <row r="4" spans="1:4" x14ac:dyDescent="0.3">
      <c r="A4">
        <v>1992</v>
      </c>
      <c r="B4">
        <f>Sheet4!IW4+Sheet4!IX4+Sheet4!IY4+Sheet4!IZ4+Sheet4!JA4+Sheet4!JB4+Sheet4!JC4</f>
        <v>103511</v>
      </c>
      <c r="C4">
        <v>105900</v>
      </c>
      <c r="D4">
        <f t="shared" si="0"/>
        <v>2389</v>
      </c>
    </row>
    <row r="5" spans="1:4" x14ac:dyDescent="0.3">
      <c r="A5">
        <v>1993</v>
      </c>
      <c r="B5">
        <f>Sheet4!IW5+Sheet4!IX5+Sheet4!IY5+Sheet4!IZ5+Sheet4!JA5+Sheet4!JB5+Sheet4!JC5</f>
        <v>104781</v>
      </c>
      <c r="C5">
        <v>104200</v>
      </c>
      <c r="D5">
        <f t="shared" si="0"/>
        <v>581</v>
      </c>
    </row>
    <row r="6" spans="1:4" x14ac:dyDescent="0.3">
      <c r="A6">
        <v>1994</v>
      </c>
      <c r="B6">
        <f>Sheet4!IW6+Sheet4!IX6+Sheet4!IY6+Sheet4!IZ6+Sheet4!JA6+Sheet4!JB6+Sheet4!JC6</f>
        <v>106064</v>
      </c>
      <c r="C6">
        <v>111500</v>
      </c>
      <c r="D6">
        <f t="shared" si="0"/>
        <v>5436</v>
      </c>
    </row>
    <row r="7" spans="1:4" x14ac:dyDescent="0.3">
      <c r="A7">
        <v>1995</v>
      </c>
      <c r="B7">
        <f>Sheet4!IW7+Sheet4!IX7+Sheet4!IY7+Sheet4!IZ7+Sheet4!JA7+Sheet4!JB7+Sheet4!JC7</f>
        <v>107420</v>
      </c>
      <c r="C7">
        <v>105800</v>
      </c>
      <c r="D7">
        <f t="shared" si="0"/>
        <v>1620</v>
      </c>
    </row>
    <row r="8" spans="1:4" x14ac:dyDescent="0.3">
      <c r="A8">
        <v>1996</v>
      </c>
      <c r="B8">
        <f>Sheet4!IW8+Sheet4!IX8+Sheet4!IY8+Sheet4!IZ8+Sheet4!JA8+Sheet4!JB8+Sheet4!JC8</f>
        <v>108697</v>
      </c>
      <c r="C8">
        <v>112700</v>
      </c>
      <c r="D8">
        <f t="shared" si="0"/>
        <v>4003</v>
      </c>
    </row>
    <row r="9" spans="1:4" x14ac:dyDescent="0.3">
      <c r="A9">
        <v>1997</v>
      </c>
      <c r="B9">
        <f>Sheet4!IW9+Sheet4!IX9+Sheet4!IY9+Sheet4!IZ9+Sheet4!JA9+Sheet4!JB9+Sheet4!JC9</f>
        <v>110053</v>
      </c>
      <c r="C9">
        <v>107400</v>
      </c>
      <c r="D9">
        <f t="shared" si="0"/>
        <v>2653</v>
      </c>
    </row>
    <row r="10" spans="1:4" x14ac:dyDescent="0.3">
      <c r="A10">
        <v>1998</v>
      </c>
      <c r="B10">
        <f>Sheet4!IW10+Sheet4!IX10+Sheet4!IY10+Sheet4!IZ10+Sheet4!JA10+Sheet4!JB10+Sheet4!JC10</f>
        <v>111253</v>
      </c>
      <c r="C10">
        <v>111000</v>
      </c>
      <c r="D10">
        <f t="shared" si="0"/>
        <v>253</v>
      </c>
    </row>
    <row r="11" spans="1:4" x14ac:dyDescent="0.3">
      <c r="A11">
        <v>1999</v>
      </c>
      <c r="B11">
        <f>Sheet4!IW11+Sheet4!IX11+Sheet4!IY11+Sheet4!IZ11+Sheet4!JA11+Sheet4!JB11+Sheet4!JC11</f>
        <v>112420</v>
      </c>
      <c r="C11">
        <v>120600</v>
      </c>
      <c r="D11">
        <f t="shared" si="0"/>
        <v>8180</v>
      </c>
    </row>
    <row r="12" spans="1:4" x14ac:dyDescent="0.3">
      <c r="A12">
        <v>2000</v>
      </c>
      <c r="B12">
        <f>Sheet4!IW12+Sheet4!IX12+Sheet4!IY12+Sheet4!IZ12+Sheet4!JA12+Sheet4!JB12+Sheet4!JC12</f>
        <v>111394</v>
      </c>
      <c r="C12">
        <v>106600</v>
      </c>
      <c r="D12">
        <f t="shared" si="0"/>
        <v>4794</v>
      </c>
    </row>
    <row r="13" spans="1:4" x14ac:dyDescent="0.3">
      <c r="A13">
        <v>2001</v>
      </c>
      <c r="B13">
        <f>Sheet4!IW13+Sheet4!IX13+Sheet4!IY13+Sheet4!IZ13+Sheet4!JA13+Sheet4!JB13+Sheet4!JC13</f>
        <v>110987</v>
      </c>
      <c r="C13">
        <v>121900</v>
      </c>
      <c r="D13">
        <f t="shared" si="0"/>
        <v>10913</v>
      </c>
    </row>
    <row r="14" spans="1:4" x14ac:dyDescent="0.3">
      <c r="A14">
        <v>2002</v>
      </c>
      <c r="B14">
        <f>Sheet4!IW14+Sheet4!IX14+Sheet4!IY14+Sheet4!IZ14+Sheet4!JA14+Sheet4!JB14+Sheet4!JC14</f>
        <v>111855</v>
      </c>
      <c r="C14">
        <v>119800</v>
      </c>
      <c r="D14">
        <f t="shared" si="0"/>
        <v>7945</v>
      </c>
    </row>
    <row r="15" spans="1:4" x14ac:dyDescent="0.3">
      <c r="A15">
        <v>2003</v>
      </c>
      <c r="B15">
        <f>Sheet4!IW15+Sheet4!IX15+Sheet4!IY15+Sheet4!IZ15+Sheet4!JA15+Sheet4!JB15+Sheet4!JC15</f>
        <v>112865</v>
      </c>
      <c r="C15">
        <v>126200</v>
      </c>
      <c r="D15">
        <f t="shared" si="0"/>
        <v>13335</v>
      </c>
    </row>
    <row r="16" spans="1:4" x14ac:dyDescent="0.3">
      <c r="A16">
        <v>2004</v>
      </c>
      <c r="B16">
        <f>Sheet4!IW16+Sheet4!IX16+Sheet4!IY16+Sheet4!IZ16+Sheet4!JA16+Sheet4!JB16+Sheet4!JC16</f>
        <v>113772</v>
      </c>
      <c r="C16">
        <v>128100</v>
      </c>
      <c r="D16">
        <f t="shared" si="0"/>
        <v>14328</v>
      </c>
    </row>
    <row r="17" spans="1:4" x14ac:dyDescent="0.3">
      <c r="A17">
        <v>2005</v>
      </c>
      <c r="B17">
        <f>Sheet4!IW17+Sheet4!IX17+Sheet4!IY17+Sheet4!IZ17+Sheet4!JA17+Sheet4!JB17+Sheet4!JC17</f>
        <v>114498</v>
      </c>
      <c r="C17">
        <v>114300</v>
      </c>
      <c r="D17">
        <f t="shared" si="0"/>
        <v>198</v>
      </c>
    </row>
    <row r="18" spans="1:4" x14ac:dyDescent="0.3">
      <c r="A18">
        <v>2006</v>
      </c>
      <c r="B18">
        <f>Sheet4!IW18+Sheet4!IX18+Sheet4!IY18+Sheet4!IZ18+Sheet4!JA18+Sheet4!JB18+Sheet4!JC18</f>
        <v>115199</v>
      </c>
      <c r="C18">
        <v>126200</v>
      </c>
      <c r="D18">
        <f t="shared" si="0"/>
        <v>11001</v>
      </c>
    </row>
    <row r="19" spans="1:4" x14ac:dyDescent="0.3">
      <c r="A19">
        <v>2007</v>
      </c>
      <c r="B19">
        <f>Sheet4!IW19+Sheet4!IX19+Sheet4!IY19+Sheet4!IZ19+Sheet4!JA19+Sheet4!JB19+Sheet4!JC19</f>
        <v>115665</v>
      </c>
      <c r="C19">
        <v>129100</v>
      </c>
      <c r="D19">
        <f t="shared" si="0"/>
        <v>13435</v>
      </c>
    </row>
    <row r="20" spans="1:4" x14ac:dyDescent="0.3">
      <c r="A20">
        <v>2008</v>
      </c>
      <c r="B20">
        <f>Sheet4!IW20+Sheet4!IX20+Sheet4!IY20+Sheet4!IZ20+Sheet4!JA20+Sheet4!JB20+Sheet4!JC20</f>
        <v>115772</v>
      </c>
      <c r="C20">
        <v>124200</v>
      </c>
      <c r="D20">
        <f t="shared" si="0"/>
        <v>8428</v>
      </c>
    </row>
    <row r="21" spans="1:4" x14ac:dyDescent="0.3">
      <c r="A21">
        <v>2009</v>
      </c>
      <c r="B21">
        <f>Sheet4!IW21+Sheet4!IX21+Sheet4!IY21+Sheet4!IZ21+Sheet4!JA21+Sheet4!JB21+Sheet4!JC21</f>
        <v>115730</v>
      </c>
      <c r="C21">
        <v>126100</v>
      </c>
      <c r="D21">
        <f t="shared" si="0"/>
        <v>10370</v>
      </c>
    </row>
    <row r="22" spans="1:4" x14ac:dyDescent="0.3">
      <c r="A22">
        <v>2010</v>
      </c>
      <c r="B22">
        <f>Sheet4!IW22+Sheet4!IX22+Sheet4!IY22+Sheet4!IZ22+Sheet4!JA22+Sheet4!JB22+Sheet4!JC22</f>
        <v>114637</v>
      </c>
      <c r="C22">
        <v>132700</v>
      </c>
      <c r="D22">
        <f t="shared" si="0"/>
        <v>18063</v>
      </c>
    </row>
    <row r="23" spans="1:4" x14ac:dyDescent="0.3">
      <c r="A23">
        <v>2011</v>
      </c>
      <c r="B23">
        <f>Sheet4!IW23+Sheet4!IX23+Sheet4!IY23+Sheet4!IZ23+Sheet4!JA23+Sheet4!JB23+Sheet4!JC23</f>
        <v>111389</v>
      </c>
      <c r="C23">
        <v>132000</v>
      </c>
      <c r="D23">
        <f t="shared" si="0"/>
        <v>20611</v>
      </c>
    </row>
    <row r="24" spans="1:4" x14ac:dyDescent="0.3">
      <c r="A24">
        <v>2012</v>
      </c>
      <c r="B24">
        <f>Sheet4!IW24+Sheet4!IX24+Sheet4!IY24+Sheet4!IZ24+Sheet4!JA24+Sheet4!JB24+Sheet4!JC24</f>
        <v>101684</v>
      </c>
      <c r="C24">
        <v>126700</v>
      </c>
      <c r="D24">
        <f t="shared" si="0"/>
        <v>25016</v>
      </c>
    </row>
    <row r="25" spans="1:4" x14ac:dyDescent="0.3">
      <c r="A25">
        <v>2013</v>
      </c>
      <c r="B25">
        <f>Sheet4!IW25+Sheet4!IX25+Sheet4!IY25+Sheet4!IZ25+Sheet4!JA25+Sheet4!JB25+Sheet4!JC25</f>
        <v>76436</v>
      </c>
      <c r="C25">
        <v>132100</v>
      </c>
      <c r="D25">
        <f t="shared" si="0"/>
        <v>55664</v>
      </c>
    </row>
    <row r="26" spans="1:4" x14ac:dyDescent="0.3">
      <c r="A26">
        <v>2014</v>
      </c>
      <c r="B26">
        <f>Sheet4!IW26+Sheet4!IX26+Sheet4!IY26+Sheet4!IZ26+Sheet4!JA26+Sheet4!JB26+Sheet4!JC26</f>
        <v>43846</v>
      </c>
      <c r="C26">
        <v>133700</v>
      </c>
      <c r="D26">
        <f t="shared" si="0"/>
        <v>89854</v>
      </c>
    </row>
    <row r="27" spans="1:4" x14ac:dyDescent="0.3">
      <c r="A27">
        <v>2015</v>
      </c>
      <c r="B27">
        <f>Sheet4!IW27+Sheet4!IX27+Sheet4!IY27+Sheet4!IZ27+Sheet4!JA27+Sheet4!JB27+Sheet4!JC27</f>
        <v>7733</v>
      </c>
      <c r="C27">
        <v>143100</v>
      </c>
      <c r="D27">
        <f t="shared" si="0"/>
        <v>135367</v>
      </c>
    </row>
    <row r="28" spans="1:4" x14ac:dyDescent="0.3">
      <c r="A28">
        <v>2016</v>
      </c>
      <c r="B28">
        <f>Sheet4!IW28+Sheet4!IX28+Sheet4!IY28+Sheet4!IZ28+Sheet4!JA28+Sheet4!JB28+Sheet4!JC28</f>
        <v>4127</v>
      </c>
      <c r="C28">
        <v>144700</v>
      </c>
      <c r="D28">
        <f t="shared" si="0"/>
        <v>140573</v>
      </c>
    </row>
    <row r="29" spans="1:4" x14ac:dyDescent="0.3">
      <c r="A29">
        <v>2017</v>
      </c>
      <c r="B29">
        <f>Sheet4!IW29+Sheet4!IX29+Sheet4!IY29+Sheet4!IZ29+Sheet4!JA29+Sheet4!JB29+Sheet4!JC29</f>
        <v>1447</v>
      </c>
      <c r="C29">
        <v>148500</v>
      </c>
      <c r="D29">
        <f t="shared" si="0"/>
        <v>147053</v>
      </c>
    </row>
    <row r="30" spans="1:4" x14ac:dyDescent="0.3">
      <c r="A30">
        <v>2018</v>
      </c>
      <c r="B30">
        <f>Sheet4!IW30+Sheet4!IX30+Sheet4!IY30+Sheet4!IZ30+Sheet4!JA30+Sheet4!JB30+Sheet4!JC30</f>
        <v>0</v>
      </c>
      <c r="C30">
        <v>140000</v>
      </c>
      <c r="D30">
        <f t="shared" si="0"/>
        <v>140000</v>
      </c>
    </row>
    <row r="31" spans="1:4" x14ac:dyDescent="0.3">
      <c r="D31">
        <f>SUM(D2:D30)</f>
        <v>893601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96"/>
  <sheetViews>
    <sheetView topLeftCell="A116" workbookViewId="0">
      <selection activeCell="M148" sqref="M148"/>
    </sheetView>
  </sheetViews>
  <sheetFormatPr defaultRowHeight="14.4" x14ac:dyDescent="0.3"/>
  <sheetData>
    <row r="1" spans="1:19" x14ac:dyDescent="0.3">
      <c r="A1">
        <v>20</v>
      </c>
      <c r="B1">
        <v>5690</v>
      </c>
      <c r="C1">
        <f t="shared" ref="C1:L1" si="0">(B1 + B2)/2</f>
        <v>5690</v>
      </c>
      <c r="D1">
        <f t="shared" si="0"/>
        <v>5690</v>
      </c>
      <c r="E1">
        <f t="shared" si="0"/>
        <v>5690</v>
      </c>
      <c r="F1">
        <f t="shared" si="0"/>
        <v>5690</v>
      </c>
      <c r="G1">
        <f t="shared" si="0"/>
        <v>5690</v>
      </c>
      <c r="H1">
        <f t="shared" si="0"/>
        <v>5690</v>
      </c>
      <c r="I1">
        <f t="shared" si="0"/>
        <v>5690</v>
      </c>
      <c r="J1">
        <f t="shared" si="0"/>
        <v>5690</v>
      </c>
      <c r="K1">
        <f t="shared" si="0"/>
        <v>5690</v>
      </c>
      <c r="L1">
        <f t="shared" si="0"/>
        <v>5690.3599552913674</v>
      </c>
      <c r="M1">
        <f>458*5</f>
        <v>2290</v>
      </c>
      <c r="N1">
        <f>L1-M1</f>
        <v>3400.3599552913674</v>
      </c>
      <c r="P1">
        <v>5690</v>
      </c>
    </row>
    <row r="2" spans="1:19" x14ac:dyDescent="0.3">
      <c r="A2">
        <v>21</v>
      </c>
      <c r="B2">
        <v>5690</v>
      </c>
      <c r="C2">
        <f t="shared" ref="C2:L2" si="1">(B1+B2+B3)/3</f>
        <v>5690</v>
      </c>
      <c r="D2">
        <f t="shared" si="1"/>
        <v>5690</v>
      </c>
      <c r="E2">
        <f t="shared" si="1"/>
        <v>5690</v>
      </c>
      <c r="F2">
        <f t="shared" si="1"/>
        <v>5690</v>
      </c>
      <c r="G2">
        <f t="shared" si="1"/>
        <v>5690</v>
      </c>
      <c r="H2">
        <f t="shared" si="1"/>
        <v>5690</v>
      </c>
      <c r="I2">
        <f t="shared" si="1"/>
        <v>5690</v>
      </c>
      <c r="J2">
        <f t="shared" si="1"/>
        <v>5690</v>
      </c>
      <c r="K2">
        <f t="shared" si="1"/>
        <v>5690.7199105827358</v>
      </c>
      <c r="L2">
        <f t="shared" si="1"/>
        <v>5692.6396721366991</v>
      </c>
      <c r="M2">
        <f>458*4</f>
        <v>1832</v>
      </c>
      <c r="N2">
        <f t="shared" ref="N2:N60" si="2">L2-M2</f>
        <v>3860.6396721366991</v>
      </c>
      <c r="P2">
        <v>19860</v>
      </c>
    </row>
    <row r="3" spans="1:19" x14ac:dyDescent="0.3">
      <c r="A3">
        <v>22</v>
      </c>
      <c r="B3">
        <v>5690</v>
      </c>
      <c r="C3">
        <f t="shared" ref="C3:C59" si="3">(B2+B3+B4)/3</f>
        <v>5690</v>
      </c>
      <c r="D3">
        <f t="shared" ref="D3:E3" si="4">(C2+C3+C4)/3</f>
        <v>5690</v>
      </c>
      <c r="E3">
        <f t="shared" si="4"/>
        <v>5690</v>
      </c>
      <c r="F3">
        <f t="shared" ref="F3:G3" si="5">(E2+E3+E4)/3</f>
        <v>5690</v>
      </c>
      <c r="G3">
        <f t="shared" si="5"/>
        <v>5690</v>
      </c>
      <c r="H3">
        <f t="shared" ref="H3:I3" si="6">(G2+G3+G4)/3</f>
        <v>5690</v>
      </c>
      <c r="I3">
        <f t="shared" si="6"/>
        <v>5690</v>
      </c>
      <c r="J3">
        <f t="shared" ref="J3:K3" si="7">(I2+I3+I4)/3</f>
        <v>5692.1597317482092</v>
      </c>
      <c r="K3">
        <f t="shared" si="7"/>
        <v>5697.1991058273634</v>
      </c>
      <c r="L3">
        <f t="shared" ref="L3" si="8">(K2+K3+K4)/3</f>
        <v>5705.8380328201993</v>
      </c>
      <c r="M3">
        <f>458*3</f>
        <v>1374</v>
      </c>
      <c r="N3">
        <f t="shared" si="2"/>
        <v>4331.8380328201993</v>
      </c>
      <c r="P3">
        <v>14610</v>
      </c>
    </row>
    <row r="4" spans="1:19" x14ac:dyDescent="0.3">
      <c r="A4">
        <v>23</v>
      </c>
      <c r="B4">
        <v>5690</v>
      </c>
      <c r="C4">
        <f t="shared" si="3"/>
        <v>5690</v>
      </c>
      <c r="D4">
        <f t="shared" ref="D4:E4" si="9">(C3+C4+C5)/3</f>
        <v>5690</v>
      </c>
      <c r="E4">
        <f t="shared" si="9"/>
        <v>5690</v>
      </c>
      <c r="F4">
        <f t="shared" ref="F4:G4" si="10">(E3+E4+E5)/3</f>
        <v>5690</v>
      </c>
      <c r="G4">
        <f t="shared" si="10"/>
        <v>5690</v>
      </c>
      <c r="H4">
        <f t="shared" ref="H4:I4" si="11">(G3+G4+G5)/3</f>
        <v>5690</v>
      </c>
      <c r="I4">
        <f t="shared" si="11"/>
        <v>5696.4791952446276</v>
      </c>
      <c r="J4">
        <f t="shared" ref="J4:K4" si="12">(I3+I4+I5)/3</f>
        <v>5709.4375857338819</v>
      </c>
      <c r="K4">
        <f t="shared" si="12"/>
        <v>5729.5950820504995</v>
      </c>
      <c r="L4">
        <f t="shared" ref="L4" si="13">(K3+K4+K5)/3</f>
        <v>5756.2317736117448</v>
      </c>
      <c r="M4">
        <f>458*2</f>
        <v>916</v>
      </c>
      <c r="N4">
        <f t="shared" si="2"/>
        <v>4840.2317736117448</v>
      </c>
      <c r="P4">
        <v>9570</v>
      </c>
    </row>
    <row r="5" spans="1:19" x14ac:dyDescent="0.3">
      <c r="A5">
        <v>24</v>
      </c>
      <c r="B5">
        <v>5690</v>
      </c>
      <c r="C5">
        <f t="shared" si="3"/>
        <v>5690</v>
      </c>
      <c r="D5">
        <f t="shared" ref="D5:E5" si="14">(C4+C5+C6)/3</f>
        <v>5690</v>
      </c>
      <c r="E5">
        <f t="shared" si="14"/>
        <v>5690</v>
      </c>
      <c r="F5">
        <f t="shared" ref="F5:G5" si="15">(E4+E5+E6)/3</f>
        <v>5690</v>
      </c>
      <c r="G5">
        <f t="shared" si="15"/>
        <v>5690</v>
      </c>
      <c r="H5">
        <f t="shared" ref="H5:I5" si="16">(G4+G5+G6)/3</f>
        <v>5709.4375857338819</v>
      </c>
      <c r="I5">
        <f t="shared" si="16"/>
        <v>5741.833561957018</v>
      </c>
      <c r="J5">
        <f t="shared" ref="J5:K5" si="17">(I4+I5+I6)/3</f>
        <v>5787.1879286694093</v>
      </c>
      <c r="K5">
        <f t="shared" si="17"/>
        <v>5841.9011329573732</v>
      </c>
      <c r="L5">
        <f t="shared" ref="L5" si="18">(K4+K5+K6)/3</f>
        <v>5903.8134430727005</v>
      </c>
      <c r="M5">
        <f>458*1</f>
        <v>458</v>
      </c>
      <c r="N5">
        <f t="shared" si="2"/>
        <v>5445.8134430727005</v>
      </c>
      <c r="P5">
        <v>5830</v>
      </c>
    </row>
    <row r="6" spans="1:19" x14ac:dyDescent="0.3">
      <c r="A6">
        <v>25</v>
      </c>
      <c r="B6">
        <v>5690</v>
      </c>
      <c r="C6">
        <f t="shared" si="3"/>
        <v>5690</v>
      </c>
      <c r="D6">
        <f t="shared" ref="D6:E6" si="19">(C5+C6+C7)/3</f>
        <v>5690</v>
      </c>
      <c r="E6">
        <f t="shared" si="19"/>
        <v>5690</v>
      </c>
      <c r="F6">
        <f t="shared" ref="F6:G6" si="20">(E5+E6+E7)/3</f>
        <v>5690</v>
      </c>
      <c r="G6">
        <f t="shared" si="20"/>
        <v>5748.3127572016456</v>
      </c>
      <c r="H6">
        <f t="shared" ref="H6:I6" si="21">(G5+G6+G7)/3</f>
        <v>5826.0631001371739</v>
      </c>
      <c r="I6">
        <f t="shared" si="21"/>
        <v>5923.2510288065832</v>
      </c>
      <c r="J6">
        <f t="shared" ref="J6:K6" si="22">(I5+I6+I7)/3</f>
        <v>6029.0778844688293</v>
      </c>
      <c r="K6">
        <f t="shared" si="22"/>
        <v>6139.9441142102305</v>
      </c>
      <c r="L6">
        <f t="shared" ref="L6" si="23">(K5+K6+K7)/3</f>
        <v>6252.2501651171042</v>
      </c>
      <c r="M6">
        <v>0</v>
      </c>
      <c r="N6">
        <f t="shared" si="2"/>
        <v>6252.2501651171042</v>
      </c>
      <c r="P6">
        <v>3080</v>
      </c>
    </row>
    <row r="7" spans="1:19" x14ac:dyDescent="0.3">
      <c r="A7">
        <v>26</v>
      </c>
      <c r="B7">
        <v>5690</v>
      </c>
      <c r="C7">
        <f t="shared" si="3"/>
        <v>5690</v>
      </c>
      <c r="D7">
        <f t="shared" ref="D7:E7" si="24">(C6+C7+C8)/3</f>
        <v>5690</v>
      </c>
      <c r="E7">
        <f t="shared" si="24"/>
        <v>5690</v>
      </c>
      <c r="F7">
        <f t="shared" ref="F7:G7" si="25">(E6+E7+E8)/3</f>
        <v>5864.9382716049377</v>
      </c>
      <c r="G7">
        <f t="shared" si="25"/>
        <v>6039.8765432098762</v>
      </c>
      <c r="H7">
        <f t="shared" ref="H7:I7" si="26">(G6+G7+G8)/3</f>
        <v>6234.2524005486966</v>
      </c>
      <c r="I7">
        <f t="shared" si="26"/>
        <v>6422.1490626428895</v>
      </c>
      <c r="J7">
        <f t="shared" ref="J7:K7" si="27">(I6+I7+I8)/3</f>
        <v>6603.5665294924547</v>
      </c>
      <c r="K7">
        <f t="shared" si="27"/>
        <v>6774.9052481837107</v>
      </c>
      <c r="L7">
        <f t="shared" ref="L7" si="28">(K6+K7+K8)/3</f>
        <v>6936.1652187166583</v>
      </c>
      <c r="M7">
        <v>0</v>
      </c>
      <c r="N7">
        <f t="shared" si="2"/>
        <v>6936.1652187166583</v>
      </c>
    </row>
    <row r="8" spans="1:19" x14ac:dyDescent="0.3">
      <c r="A8">
        <v>27</v>
      </c>
      <c r="B8">
        <v>5690</v>
      </c>
      <c r="C8">
        <f t="shared" si="3"/>
        <v>5690</v>
      </c>
      <c r="D8">
        <f t="shared" ref="D8:E8" si="29">(C7+C8+C9)/3</f>
        <v>5690</v>
      </c>
      <c r="E8">
        <f t="shared" si="29"/>
        <v>6214.8148148148148</v>
      </c>
      <c r="F8">
        <f t="shared" ref="F8:G8" si="30">(E7+E8+E9)/3</f>
        <v>6564.691358024691</v>
      </c>
      <c r="G8">
        <f t="shared" si="30"/>
        <v>6914.5679012345672</v>
      </c>
      <c r="H8">
        <f t="shared" ref="H8:I8" si="31">(G7+G8+G9)/3</f>
        <v>7206.1316872427988</v>
      </c>
      <c r="I8">
        <f t="shared" si="31"/>
        <v>7465.2994970278924</v>
      </c>
      <c r="J8">
        <f t="shared" ref="J8:K8" si="32">(I7+I8+I9)/3</f>
        <v>7692.0713305898489</v>
      </c>
      <c r="K8">
        <f t="shared" si="32"/>
        <v>7893.6462937560327</v>
      </c>
      <c r="L8">
        <f t="shared" ref="L8" si="33">(K7+K8+K9)/3</f>
        <v>8073.6239394401246</v>
      </c>
      <c r="M8">
        <v>0</v>
      </c>
      <c r="N8">
        <f t="shared" si="2"/>
        <v>8073.6239394401246</v>
      </c>
    </row>
    <row r="9" spans="1:19" x14ac:dyDescent="0.3">
      <c r="A9">
        <v>28</v>
      </c>
      <c r="B9">
        <v>5690</v>
      </c>
      <c r="C9">
        <f t="shared" si="3"/>
        <v>5690</v>
      </c>
      <c r="D9">
        <f t="shared" ref="D9:E9" si="34">(C8+C9+C10)/3</f>
        <v>7264.4444444444453</v>
      </c>
      <c r="E9">
        <f t="shared" si="34"/>
        <v>7789.25925925926</v>
      </c>
      <c r="F9">
        <f t="shared" ref="F9:G9" si="35">(E8+E9+E10)/3</f>
        <v>8314.0740740740748</v>
      </c>
      <c r="G9">
        <f t="shared" si="35"/>
        <v>8663.9506172839519</v>
      </c>
      <c r="H9">
        <f t="shared" ref="H9:I9" si="36">(G8+G9+G10)/3</f>
        <v>8955.5144032921817</v>
      </c>
      <c r="I9">
        <f t="shared" si="36"/>
        <v>9188.7654320987658</v>
      </c>
      <c r="J9">
        <f t="shared" ref="J9:K9" si="37">(I8+I9+I10)/3</f>
        <v>9385.3010211857963</v>
      </c>
      <c r="K9">
        <f t="shared" si="37"/>
        <v>9552.320276380633</v>
      </c>
      <c r="L9">
        <f t="shared" ref="L9" si="38">(K8+K9+K10)/3</f>
        <v>9697.0223035106446</v>
      </c>
      <c r="M9">
        <v>0</v>
      </c>
      <c r="N9">
        <f t="shared" si="2"/>
        <v>9697.0223035106446</v>
      </c>
    </row>
    <row r="10" spans="1:19" x14ac:dyDescent="0.3">
      <c r="A10">
        <v>29</v>
      </c>
      <c r="B10">
        <v>5690</v>
      </c>
      <c r="C10">
        <f t="shared" si="3"/>
        <v>10413.333333333334</v>
      </c>
      <c r="D10">
        <f t="shared" ref="D10:E10" si="39">(C9+C10+C11)/3</f>
        <v>10413.333333333334</v>
      </c>
      <c r="E10">
        <f t="shared" si="39"/>
        <v>10938.148148148148</v>
      </c>
      <c r="F10">
        <f t="shared" ref="F10:G10" si="40">(E9+E10+E11)/3</f>
        <v>11113.086419753088</v>
      </c>
      <c r="G10">
        <f t="shared" si="40"/>
        <v>11288.024691358027</v>
      </c>
      <c r="H10">
        <f t="shared" ref="H10:I10" si="41">(G9+G10+G11)/3</f>
        <v>11404.650205761318</v>
      </c>
      <c r="I10">
        <f t="shared" si="41"/>
        <v>11501.838134430727</v>
      </c>
      <c r="J10">
        <f t="shared" ref="J10:K10" si="42">(I9+I10+I11)/3</f>
        <v>11579.588477366255</v>
      </c>
      <c r="K10">
        <f t="shared" si="42"/>
        <v>11645.100340395265</v>
      </c>
      <c r="L10">
        <f t="shared" ref="L10" si="43">(K9+K10+K11)/3</f>
        <v>11700.773425460211</v>
      </c>
      <c r="M10">
        <v>0</v>
      </c>
      <c r="N10">
        <f t="shared" si="2"/>
        <v>11700.773425460211</v>
      </c>
    </row>
    <row r="11" spans="1:19" x14ac:dyDescent="0.3">
      <c r="A11">
        <v>30</v>
      </c>
      <c r="B11">
        <v>19860</v>
      </c>
      <c r="C11">
        <f t="shared" si="3"/>
        <v>15136.666666666666</v>
      </c>
      <c r="D11">
        <f t="shared" ref="D11:E11" si="44">(C10+C11+C12)/3</f>
        <v>15136.666666666666</v>
      </c>
      <c r="E11">
        <f t="shared" si="44"/>
        <v>14611.851851851852</v>
      </c>
      <c r="F11">
        <f t="shared" ref="F11:G11" si="45">(E10+E11+E12)/3</f>
        <v>14436.913580246915</v>
      </c>
      <c r="G11">
        <f t="shared" si="45"/>
        <v>14261.975308641975</v>
      </c>
      <c r="H11">
        <f t="shared" ref="H11:I11" si="46">(G10+G11+G12)/3</f>
        <v>14145.349794238684</v>
      </c>
      <c r="I11">
        <f t="shared" si="46"/>
        <v>14048.161865569273</v>
      </c>
      <c r="J11">
        <f t="shared" ref="J11:K11" si="47">(I10+I11+I12)/3</f>
        <v>13970.411522633745</v>
      </c>
      <c r="K11">
        <f t="shared" si="47"/>
        <v>13904.899659604735</v>
      </c>
      <c r="L11">
        <f t="shared" ref="L11" si="48">(K10+K11+K12)/3</f>
        <v>13849.137665328795</v>
      </c>
      <c r="M11">
        <f>-322*S11</f>
        <v>-322</v>
      </c>
      <c r="N11">
        <f>L11-M11</f>
        <v>14171.137665328795</v>
      </c>
      <c r="S11">
        <v>1</v>
      </c>
    </row>
    <row r="12" spans="1:19" x14ac:dyDescent="0.3">
      <c r="A12">
        <v>31</v>
      </c>
      <c r="B12">
        <v>19860</v>
      </c>
      <c r="C12">
        <f t="shared" si="3"/>
        <v>19860</v>
      </c>
      <c r="D12">
        <f t="shared" ref="D12:E12" si="49">(C11+C12+C13)/3</f>
        <v>18285.555555555555</v>
      </c>
      <c r="E12">
        <f t="shared" si="49"/>
        <v>17760.740740740741</v>
      </c>
      <c r="F12">
        <f t="shared" ref="F12:G12" si="50">(E11+E12+E13)/3</f>
        <v>17235.925925925927</v>
      </c>
      <c r="G12">
        <f t="shared" si="50"/>
        <v>16886.04938271605</v>
      </c>
      <c r="H12">
        <f t="shared" ref="H12:I12" si="51">(G11+G12+G13)/3</f>
        <v>16594.485596707818</v>
      </c>
      <c r="I12">
        <f t="shared" si="51"/>
        <v>16361.234567901234</v>
      </c>
      <c r="J12">
        <f t="shared" ref="J12:K12" si="52">(I11+I12+I13)/3</f>
        <v>16164.698978814204</v>
      </c>
      <c r="K12">
        <f t="shared" si="52"/>
        <v>15997.412995986384</v>
      </c>
      <c r="L12">
        <f t="shared" ref="L12" si="53">(K11+K12+K13)/3</f>
        <v>15851.999695168421</v>
      </c>
      <c r="M12">
        <f t="shared" ref="M12:M20" si="54">-322*S12</f>
        <v>-644</v>
      </c>
      <c r="N12">
        <f t="shared" si="2"/>
        <v>16495.999695168422</v>
      </c>
      <c r="S12">
        <v>2</v>
      </c>
    </row>
    <row r="13" spans="1:19" x14ac:dyDescent="0.3">
      <c r="A13">
        <v>32</v>
      </c>
      <c r="B13">
        <v>19860</v>
      </c>
      <c r="C13">
        <f t="shared" si="3"/>
        <v>19860</v>
      </c>
      <c r="D13">
        <f t="shared" ref="D13:E13" si="55">(C12+C13+C14)/3</f>
        <v>19860</v>
      </c>
      <c r="E13">
        <f t="shared" si="55"/>
        <v>19335.185185185186</v>
      </c>
      <c r="F13">
        <f t="shared" ref="F13:G13" si="56">(E12+E13+E14)/3</f>
        <v>18985.308641975309</v>
      </c>
      <c r="G13">
        <f t="shared" si="56"/>
        <v>18635.432098765432</v>
      </c>
      <c r="H13">
        <f t="shared" ref="H13:I13" si="57">(G12+G13+G14)/3</f>
        <v>18343.8683127572</v>
      </c>
      <c r="I13">
        <f t="shared" si="57"/>
        <v>18084.700502972108</v>
      </c>
      <c r="J13">
        <f t="shared" ref="J13:K13" si="58">(I12+I13+I14)/3</f>
        <v>17857.128486511199</v>
      </c>
      <c r="K13">
        <f t="shared" si="58"/>
        <v>17653.686429914138</v>
      </c>
      <c r="L13">
        <f t="shared" ref="L13" si="59">(K12+K13+K14)/3</f>
        <v>17470.508052634254</v>
      </c>
      <c r="M13">
        <f t="shared" si="54"/>
        <v>-966</v>
      </c>
      <c r="N13">
        <f t="shared" si="2"/>
        <v>18436.508052634254</v>
      </c>
      <c r="S13">
        <v>3</v>
      </c>
    </row>
    <row r="14" spans="1:19" x14ac:dyDescent="0.3">
      <c r="A14">
        <v>33</v>
      </c>
      <c r="B14">
        <v>19860</v>
      </c>
      <c r="C14">
        <f t="shared" si="3"/>
        <v>19860</v>
      </c>
      <c r="D14">
        <f t="shared" ref="D14:E14" si="60">(C13+C14+C15)/3</f>
        <v>19860</v>
      </c>
      <c r="E14">
        <f t="shared" si="60"/>
        <v>19860</v>
      </c>
      <c r="F14">
        <f t="shared" ref="F14:G14" si="61">(E13+E14+E15)/3</f>
        <v>19685.06172839506</v>
      </c>
      <c r="G14">
        <f t="shared" si="61"/>
        <v>19510.123456790123</v>
      </c>
      <c r="H14">
        <f t="shared" ref="H14:I14" si="62">(G13+G14+G15)/3</f>
        <v>19315.747599451304</v>
      </c>
      <c r="I14">
        <f t="shared" si="62"/>
        <v>19125.450388660265</v>
      </c>
      <c r="J14">
        <f t="shared" ref="J14:K14" si="63">(I13+I14+I15)/3</f>
        <v>18939.231824417009</v>
      </c>
      <c r="K14">
        <f t="shared" si="63"/>
        <v>18760.424732002237</v>
      </c>
      <c r="L14">
        <f t="shared" ref="L14" si="64">(K13+K14+K15)/3</f>
        <v>18589.295839048922</v>
      </c>
      <c r="M14">
        <f t="shared" si="54"/>
        <v>-1288</v>
      </c>
      <c r="N14">
        <f t="shared" si="2"/>
        <v>19877.295839048922</v>
      </c>
      <c r="S14">
        <v>4</v>
      </c>
    </row>
    <row r="15" spans="1:19" x14ac:dyDescent="0.3">
      <c r="A15">
        <v>34</v>
      </c>
      <c r="B15">
        <v>19860</v>
      </c>
      <c r="C15">
        <f t="shared" si="3"/>
        <v>19860</v>
      </c>
      <c r="D15">
        <f t="shared" ref="D15:E15" si="65">(C14+C15+C16)/3</f>
        <v>19860</v>
      </c>
      <c r="E15">
        <f t="shared" si="65"/>
        <v>19860</v>
      </c>
      <c r="F15">
        <f t="shared" ref="F15:G15" si="66">(E14+E15+E16)/3</f>
        <v>19860</v>
      </c>
      <c r="G15">
        <f t="shared" si="66"/>
        <v>19801.687242798351</v>
      </c>
      <c r="H15">
        <f t="shared" ref="H15:I15" si="67">(G14+G15+G16)/3</f>
        <v>19716.735253772291</v>
      </c>
      <c r="I15">
        <f t="shared" si="67"/>
        <v>19607.544581618655</v>
      </c>
      <c r="J15">
        <f t="shared" ref="J15:K15" si="68">(I14+I15+I16)/3</f>
        <v>19484.913885078491</v>
      </c>
      <c r="K15">
        <f t="shared" si="68"/>
        <v>19353.776355230399</v>
      </c>
      <c r="L15">
        <f t="shared" ref="L15" si="69">(K14+K15+K16)/3</f>
        <v>19218.531727887006</v>
      </c>
      <c r="M15">
        <f t="shared" si="54"/>
        <v>-1610</v>
      </c>
      <c r="N15">
        <f t="shared" si="2"/>
        <v>20828.531727887006</v>
      </c>
      <c r="S15">
        <v>5</v>
      </c>
    </row>
    <row r="16" spans="1:19" x14ac:dyDescent="0.3">
      <c r="A16">
        <v>35</v>
      </c>
      <c r="B16">
        <v>19860</v>
      </c>
      <c r="C16">
        <f t="shared" si="3"/>
        <v>19860</v>
      </c>
      <c r="D16">
        <f t="shared" ref="D16:E16" si="70">(C15+C16+C17)/3</f>
        <v>19860</v>
      </c>
      <c r="E16">
        <f t="shared" si="70"/>
        <v>19860</v>
      </c>
      <c r="F16">
        <f t="shared" ref="F16:G16" si="71">(E15+E16+E17)/3</f>
        <v>19860</v>
      </c>
      <c r="G16">
        <f t="shared" si="71"/>
        <v>19838.395061728395</v>
      </c>
      <c r="H16">
        <f t="shared" ref="H16:I16" si="72">(G15+G16+G17)/3</f>
        <v>19790.150891632369</v>
      </c>
      <c r="I16">
        <f t="shared" si="72"/>
        <v>19721.746684956557</v>
      </c>
      <c r="J16">
        <f t="shared" ref="J16:K16" si="73">(I15+I16+I17)/3</f>
        <v>19637.183356195699</v>
      </c>
      <c r="K16">
        <f t="shared" si="73"/>
        <v>19541.394096428387</v>
      </c>
      <c r="L16">
        <f t="shared" ref="L16" si="74">(K15+K16+K17)/3</f>
        <v>19437.872275567745</v>
      </c>
      <c r="M16">
        <f t="shared" si="54"/>
        <v>-1610</v>
      </c>
      <c r="N16">
        <f t="shared" si="2"/>
        <v>21047.872275567745</v>
      </c>
      <c r="S16">
        <v>5</v>
      </c>
    </row>
    <row r="17" spans="1:19" x14ac:dyDescent="0.3">
      <c r="A17">
        <v>36</v>
      </c>
      <c r="B17">
        <v>19860</v>
      </c>
      <c r="C17">
        <f t="shared" si="3"/>
        <v>19860</v>
      </c>
      <c r="D17">
        <f t="shared" ref="D17:E17" si="75">(C16+C17+C18)/3</f>
        <v>19860</v>
      </c>
      <c r="E17">
        <f t="shared" si="75"/>
        <v>19860</v>
      </c>
      <c r="F17">
        <f t="shared" ref="F17:G17" si="76">(E16+E17+E18)/3</f>
        <v>19795.185185185186</v>
      </c>
      <c r="G17">
        <f t="shared" si="76"/>
        <v>19730.370370370369</v>
      </c>
      <c r="H17">
        <f t="shared" ref="H17:I17" si="77">(G16+G17+G18)/3</f>
        <v>19658.353909465019</v>
      </c>
      <c r="I17">
        <f t="shared" si="77"/>
        <v>19582.258802011886</v>
      </c>
      <c r="J17">
        <f t="shared" ref="J17:K17" si="78">(I16+I17+I18)/3</f>
        <v>19502.085048010969</v>
      </c>
      <c r="K17">
        <f t="shared" si="78"/>
        <v>19418.446375044452</v>
      </c>
      <c r="L17">
        <f t="shared" ref="L17" si="79">(K16+K17+K18)/3</f>
        <v>19332.062693695061</v>
      </c>
      <c r="M17">
        <f t="shared" si="54"/>
        <v>-1288</v>
      </c>
      <c r="N17">
        <f t="shared" si="2"/>
        <v>20620.062693695061</v>
      </c>
      <c r="S17">
        <v>4</v>
      </c>
    </row>
    <row r="18" spans="1:19" x14ac:dyDescent="0.3">
      <c r="A18">
        <v>37</v>
      </c>
      <c r="B18">
        <v>19860</v>
      </c>
      <c r="C18">
        <f t="shared" si="3"/>
        <v>19860</v>
      </c>
      <c r="D18">
        <f t="shared" ref="D18:E18" si="80">(C17+C18+C19)/3</f>
        <v>19860</v>
      </c>
      <c r="E18">
        <f t="shared" si="80"/>
        <v>19665.555555555558</v>
      </c>
      <c r="F18">
        <f t="shared" ref="F18:G18" si="81">(E17+E18+E19)/3</f>
        <v>19535.925925925927</v>
      </c>
      <c r="G18">
        <f t="shared" si="81"/>
        <v>19406.296296296296</v>
      </c>
      <c r="H18">
        <f t="shared" ref="H18:I18" si="82">(G17+G18+G19)/3</f>
        <v>19298.271604938273</v>
      </c>
      <c r="I18">
        <f t="shared" si="82"/>
        <v>19202.249657064473</v>
      </c>
      <c r="J18">
        <f t="shared" ref="J18:K18" si="83">(I17+I18+I19)/3</f>
        <v>19116.070720926687</v>
      </c>
      <c r="K18">
        <f t="shared" si="83"/>
        <v>19036.347609612352</v>
      </c>
      <c r="L18">
        <f t="shared" ref="L18" si="84">(K17+K18+K19)/3</f>
        <v>18961.026774373822</v>
      </c>
      <c r="M18">
        <f t="shared" si="54"/>
        <v>-966</v>
      </c>
      <c r="N18">
        <f t="shared" si="2"/>
        <v>19927.026774373822</v>
      </c>
      <c r="S18">
        <v>3</v>
      </c>
    </row>
    <row r="19" spans="1:19" x14ac:dyDescent="0.3">
      <c r="A19">
        <v>38</v>
      </c>
      <c r="B19">
        <v>19860</v>
      </c>
      <c r="C19">
        <f t="shared" si="3"/>
        <v>19860</v>
      </c>
      <c r="D19">
        <f t="shared" ref="D19:E19" si="85">(C18+C19+C20)/3</f>
        <v>19276.666666666668</v>
      </c>
      <c r="E19">
        <f t="shared" si="85"/>
        <v>19082.222222222223</v>
      </c>
      <c r="F19">
        <f t="shared" ref="F19:G19" si="86">(E18+E19+E20)/3</f>
        <v>18887.777777777781</v>
      </c>
      <c r="G19">
        <f t="shared" si="86"/>
        <v>18758.14814814815</v>
      </c>
      <c r="H19">
        <f t="shared" ref="H19:I19" si="87">(G18+G19+G20)/3</f>
        <v>18650.123456790123</v>
      </c>
      <c r="I19">
        <f t="shared" si="87"/>
        <v>18563.703703703704</v>
      </c>
      <c r="J19">
        <f t="shared" ref="J19:K19" si="88">(I18+I19+I20)/3</f>
        <v>18490.887059899407</v>
      </c>
      <c r="K19">
        <f t="shared" si="88"/>
        <v>18428.286338464666</v>
      </c>
      <c r="L19">
        <f t="shared" ref="L19" si="89">(K18+K19+K20)/3</f>
        <v>18372.754322681165</v>
      </c>
      <c r="M19">
        <f t="shared" si="54"/>
        <v>-644</v>
      </c>
      <c r="N19">
        <f t="shared" si="2"/>
        <v>19016.754322681165</v>
      </c>
      <c r="S19">
        <v>2</v>
      </c>
    </row>
    <row r="20" spans="1:19" x14ac:dyDescent="0.3">
      <c r="A20">
        <v>39</v>
      </c>
      <c r="B20">
        <v>19860</v>
      </c>
      <c r="C20">
        <f t="shared" si="3"/>
        <v>18110</v>
      </c>
      <c r="D20">
        <f t="shared" ref="D20:E20" si="90">(C19+C20+C21)/3</f>
        <v>18110</v>
      </c>
      <c r="E20">
        <f t="shared" si="90"/>
        <v>17915.555555555558</v>
      </c>
      <c r="F20">
        <f t="shared" ref="F20:G20" si="91">(E19+E20+E21)/3</f>
        <v>17850.740740740741</v>
      </c>
      <c r="G20">
        <f t="shared" si="91"/>
        <v>17785.925925925927</v>
      </c>
      <c r="H20">
        <f t="shared" ref="H20:I20" si="92">(G19+G20+G21)/3</f>
        <v>17742.716049382714</v>
      </c>
      <c r="I20">
        <f t="shared" si="92"/>
        <v>17706.707818930041</v>
      </c>
      <c r="J20">
        <f t="shared" ref="J20:K20" si="93">(I19+I20+I21)/3</f>
        <v>17677.901234567904</v>
      </c>
      <c r="K20">
        <f t="shared" si="93"/>
        <v>17653.629019966469</v>
      </c>
      <c r="L20">
        <f t="shared" ref="L20" si="94">(K19+K20+K21)/3</f>
        <v>17632.762112821554</v>
      </c>
      <c r="M20">
        <f t="shared" si="54"/>
        <v>-322</v>
      </c>
      <c r="N20">
        <f t="shared" si="2"/>
        <v>17954.762112821554</v>
      </c>
      <c r="S20">
        <v>1</v>
      </c>
    </row>
    <row r="21" spans="1:19" x14ac:dyDescent="0.3">
      <c r="A21">
        <v>40</v>
      </c>
      <c r="B21">
        <v>14610</v>
      </c>
      <c r="C21">
        <f t="shared" si="3"/>
        <v>16360</v>
      </c>
      <c r="D21">
        <f t="shared" ref="D21:E21" si="95">(C20+C21+C22)/3</f>
        <v>16360</v>
      </c>
      <c r="E21">
        <f t="shared" si="95"/>
        <v>16554.444444444445</v>
      </c>
      <c r="F21">
        <f t="shared" ref="F21:G21" si="96">(E20+E21+E22)/3</f>
        <v>16619.259259259259</v>
      </c>
      <c r="G21">
        <f t="shared" si="96"/>
        <v>16684.074074074077</v>
      </c>
      <c r="H21">
        <f t="shared" ref="H21:I21" si="97">(G20+G21+G22)/3</f>
        <v>16727.283950617286</v>
      </c>
      <c r="I21">
        <f t="shared" si="97"/>
        <v>16763.292181069959</v>
      </c>
      <c r="J21">
        <f t="shared" ref="J21:K21" si="98">(I20+I21+I22)/3</f>
        <v>16792.0987654321</v>
      </c>
      <c r="K21">
        <f t="shared" si="98"/>
        <v>16816.370980033531</v>
      </c>
      <c r="L21">
        <f t="shared" ref="L21" si="99">(K20+K21+K22)/3</f>
        <v>16836.912564141647</v>
      </c>
      <c r="N21">
        <f t="shared" si="2"/>
        <v>16836.912564141647</v>
      </c>
    </row>
    <row r="22" spans="1:19" x14ac:dyDescent="0.3">
      <c r="A22">
        <v>41</v>
      </c>
      <c r="B22">
        <v>14610</v>
      </c>
      <c r="C22">
        <f t="shared" si="3"/>
        <v>14610</v>
      </c>
      <c r="D22">
        <f t="shared" ref="D22:E22" si="100">(C21+C22+C23)/3</f>
        <v>15193.333333333334</v>
      </c>
      <c r="E22">
        <f t="shared" si="100"/>
        <v>15387.777777777779</v>
      </c>
      <c r="F22">
        <f t="shared" ref="F22:G22" si="101">(E21+E22+E23)/3</f>
        <v>15582.222222222224</v>
      </c>
      <c r="G22">
        <f t="shared" si="101"/>
        <v>15711.851851851852</v>
      </c>
      <c r="H22">
        <f t="shared" ref="H22:I22" si="102">(G21+G22+G23)/3</f>
        <v>15819.876543209879</v>
      </c>
      <c r="I22">
        <f t="shared" si="102"/>
        <v>15906.296296296297</v>
      </c>
      <c r="J22">
        <f t="shared" ref="J22:K22" si="103">(I21+I22+I23)/3</f>
        <v>15979.112940100595</v>
      </c>
      <c r="K22">
        <f t="shared" si="103"/>
        <v>16040.737692424938</v>
      </c>
      <c r="L22">
        <f t="shared" ref="L22" si="104">(K21+K22+K23)/3</f>
        <v>16093.66712391404</v>
      </c>
      <c r="N22">
        <f t="shared" si="2"/>
        <v>16093.66712391404</v>
      </c>
    </row>
    <row r="23" spans="1:19" x14ac:dyDescent="0.3">
      <c r="A23">
        <v>42</v>
      </c>
      <c r="B23">
        <v>14610</v>
      </c>
      <c r="C23">
        <f t="shared" si="3"/>
        <v>14610</v>
      </c>
      <c r="D23">
        <f t="shared" ref="D23:E23" si="105">(C22+C23+C24)/3</f>
        <v>14610</v>
      </c>
      <c r="E23">
        <f t="shared" si="105"/>
        <v>14804.444444444445</v>
      </c>
      <c r="F23">
        <f t="shared" ref="F23:G23" si="106">(E22+E23+E24)/3</f>
        <v>14934.074074074075</v>
      </c>
      <c r="G23">
        <f t="shared" si="106"/>
        <v>15063.703703703706</v>
      </c>
      <c r="H23">
        <f t="shared" ref="H23:I23" si="107">(G22+G23+G24)/3</f>
        <v>15171.728395061729</v>
      </c>
      <c r="I23">
        <f t="shared" si="107"/>
        <v>15267.750342935529</v>
      </c>
      <c r="J23">
        <f t="shared" ref="J23:K23" si="108">(I22+I23+I24)/3</f>
        <v>15351.001371742115</v>
      </c>
      <c r="K23">
        <f t="shared" si="108"/>
        <v>15423.892699283648</v>
      </c>
      <c r="L23">
        <f t="shared" ref="L23" si="109">(K22+K23+K24)/3</f>
        <v>15487.501905197381</v>
      </c>
      <c r="N23">
        <f t="shared" si="2"/>
        <v>15487.501905197381</v>
      </c>
    </row>
    <row r="24" spans="1:19" x14ac:dyDescent="0.3">
      <c r="A24">
        <v>43</v>
      </c>
      <c r="B24">
        <v>14610</v>
      </c>
      <c r="C24">
        <f t="shared" si="3"/>
        <v>14610</v>
      </c>
      <c r="D24">
        <f t="shared" ref="D24:E24" si="110">(C23+C24+C25)/3</f>
        <v>14610</v>
      </c>
      <c r="E24">
        <f t="shared" si="110"/>
        <v>14610</v>
      </c>
      <c r="F24">
        <f t="shared" ref="F24:G24" si="111">(E23+E24+E25)/3</f>
        <v>14674.814814814816</v>
      </c>
      <c r="G24">
        <f t="shared" si="111"/>
        <v>14739.62962962963</v>
      </c>
      <c r="H24">
        <f t="shared" ref="H24:I24" si="112">(G23+G24+G25)/3</f>
        <v>14811.646090534981</v>
      </c>
      <c r="I24">
        <f t="shared" si="112"/>
        <v>14878.957475994515</v>
      </c>
      <c r="J24">
        <f t="shared" ref="J24:K24" si="113">(I23+I24+I25)/3</f>
        <v>14941.563786008233</v>
      </c>
      <c r="K24">
        <f t="shared" si="113"/>
        <v>14997.875323883558</v>
      </c>
      <c r="L24">
        <f t="shared" ref="L24" si="114">(K23+K24+K25)/3</f>
        <v>15048.148148148151</v>
      </c>
      <c r="N24">
        <f t="shared" si="2"/>
        <v>15048.148148148151</v>
      </c>
    </row>
    <row r="25" spans="1:19" x14ac:dyDescent="0.3">
      <c r="A25">
        <v>44</v>
      </c>
      <c r="B25">
        <v>14610</v>
      </c>
      <c r="C25">
        <f t="shared" si="3"/>
        <v>14610</v>
      </c>
      <c r="D25">
        <f t="shared" ref="D25:E25" si="115">(C24+C25+C26)/3</f>
        <v>14610</v>
      </c>
      <c r="E25">
        <f t="shared" si="115"/>
        <v>14610</v>
      </c>
      <c r="F25">
        <f t="shared" ref="F25:G25" si="116">(E24+E25+E26)/3</f>
        <v>14610</v>
      </c>
      <c r="G25">
        <f t="shared" si="116"/>
        <v>14631.604938271606</v>
      </c>
      <c r="H25">
        <f t="shared" ref="H25:I25" si="117">(G24+G25+G26)/3</f>
        <v>14653.497942386834</v>
      </c>
      <c r="I25">
        <f t="shared" si="117"/>
        <v>14677.983539094654</v>
      </c>
      <c r="J25">
        <f t="shared" ref="J25:K25" si="118">(I24+I25+I26)/3</f>
        <v>14701.060813900323</v>
      </c>
      <c r="K25">
        <f t="shared" si="118"/>
        <v>14722.676421277247</v>
      </c>
      <c r="L25">
        <f t="shared" ref="L25" si="119">(K24+K25+K26)/3</f>
        <v>14742.264898643502</v>
      </c>
      <c r="N25">
        <f t="shared" si="2"/>
        <v>14742.264898643502</v>
      </c>
    </row>
    <row r="26" spans="1:19" x14ac:dyDescent="0.3">
      <c r="A26">
        <v>45</v>
      </c>
      <c r="B26">
        <v>14610</v>
      </c>
      <c r="C26">
        <f t="shared" si="3"/>
        <v>14610</v>
      </c>
      <c r="D26">
        <f t="shared" ref="D26:E26" si="120">(C25+C26+C27)/3</f>
        <v>14610</v>
      </c>
      <c r="E26">
        <f t="shared" si="120"/>
        <v>14610</v>
      </c>
      <c r="F26">
        <f t="shared" ref="F26:G26" si="121">(E25+E26+E27)/3</f>
        <v>14610</v>
      </c>
      <c r="G26">
        <f t="shared" si="121"/>
        <v>14589.259259259261</v>
      </c>
      <c r="H26">
        <f t="shared" ref="H26:I26" si="122">(G25+G26+G27)/3</f>
        <v>14568.806584362143</v>
      </c>
      <c r="I26">
        <f t="shared" si="122"/>
        <v>14546.241426611799</v>
      </c>
      <c r="J26">
        <f t="shared" ref="J26:K26" si="123">(I25+I26+I27)/3</f>
        <v>14525.404663923184</v>
      </c>
      <c r="K26">
        <f t="shared" si="123"/>
        <v>14506.242950769702</v>
      </c>
      <c r="L26">
        <f t="shared" ref="L26" si="124">(K25+K26+K27)/3</f>
        <v>14489.236396890721</v>
      </c>
      <c r="N26">
        <f t="shared" si="2"/>
        <v>14489.236396890721</v>
      </c>
    </row>
    <row r="27" spans="1:19" x14ac:dyDescent="0.3">
      <c r="A27">
        <v>46</v>
      </c>
      <c r="B27">
        <v>14610</v>
      </c>
      <c r="C27">
        <f t="shared" si="3"/>
        <v>14610</v>
      </c>
      <c r="D27">
        <f t="shared" ref="D27:E27" si="125">(C26+C27+C28)/3</f>
        <v>14610</v>
      </c>
      <c r="E27">
        <f t="shared" si="125"/>
        <v>14610</v>
      </c>
      <c r="F27">
        <f t="shared" ref="F27:G27" si="126">(E26+E27+E28)/3</f>
        <v>14547.777777777779</v>
      </c>
      <c r="G27">
        <f t="shared" si="126"/>
        <v>14485.555555555557</v>
      </c>
      <c r="H27">
        <f t="shared" ref="H27:I27" si="127">(G26+G27+G28)/3</f>
        <v>14416.41975308642</v>
      </c>
      <c r="I27">
        <f t="shared" si="127"/>
        <v>14351.9890260631</v>
      </c>
      <c r="J27">
        <f t="shared" ref="J27:K27" si="128">(I26+I27+I28)/3</f>
        <v>14292.263374485598</v>
      </c>
      <c r="K27">
        <f t="shared" si="128"/>
        <v>14238.789818625211</v>
      </c>
      <c r="L27">
        <f t="shared" ref="L27" si="129">(K26+K27+K28)/3</f>
        <v>14191.301630848959</v>
      </c>
      <c r="N27">
        <f t="shared" si="2"/>
        <v>14191.301630848959</v>
      </c>
    </row>
    <row r="28" spans="1:19" x14ac:dyDescent="0.3">
      <c r="A28">
        <v>47</v>
      </c>
      <c r="B28">
        <v>14610</v>
      </c>
      <c r="C28">
        <f t="shared" si="3"/>
        <v>14610</v>
      </c>
      <c r="D28">
        <f t="shared" ref="D28:E28" si="130">(C27+C28+C29)/3</f>
        <v>14610</v>
      </c>
      <c r="E28">
        <f t="shared" si="130"/>
        <v>14423.333333333334</v>
      </c>
      <c r="F28">
        <f t="shared" ref="F28:G28" si="131">(E27+E28+E29)/3</f>
        <v>14298.888888888891</v>
      </c>
      <c r="G28">
        <f t="shared" si="131"/>
        <v>14174.444444444445</v>
      </c>
      <c r="H28">
        <f t="shared" ref="H28:I28" si="132">(G27+G28+G29)/3</f>
        <v>14070.740740740739</v>
      </c>
      <c r="I28">
        <f t="shared" si="132"/>
        <v>13978.559670781891</v>
      </c>
      <c r="J28">
        <f t="shared" ref="J28:K28" si="133">(I27+I28+I29)/3</f>
        <v>13898.701417466849</v>
      </c>
      <c r="K28">
        <f t="shared" si="133"/>
        <v>13828.872123151959</v>
      </c>
      <c r="L28">
        <f t="shared" ref="L28" si="134">(K27+K28+K29)/3</f>
        <v>13768.058222831887</v>
      </c>
      <c r="N28">
        <f t="shared" si="2"/>
        <v>13768.058222831887</v>
      </c>
    </row>
    <row r="29" spans="1:19" x14ac:dyDescent="0.3">
      <c r="A29">
        <v>48</v>
      </c>
      <c r="B29">
        <v>14610</v>
      </c>
      <c r="C29">
        <f t="shared" si="3"/>
        <v>14610</v>
      </c>
      <c r="D29">
        <f t="shared" ref="D29:E29" si="135">(C28+C29+C30)/3</f>
        <v>14050</v>
      </c>
      <c r="E29">
        <f t="shared" si="135"/>
        <v>13863.333333333334</v>
      </c>
      <c r="F29">
        <f t="shared" ref="F29:G29" si="136">(E28+E29+E30)/3</f>
        <v>13676.666666666666</v>
      </c>
      <c r="G29">
        <f t="shared" si="136"/>
        <v>13552.222222222221</v>
      </c>
      <c r="H29">
        <f t="shared" ref="H29:I29" si="137">(G28+G29+G30)/3</f>
        <v>13448.518518518518</v>
      </c>
      <c r="I29">
        <f t="shared" si="137"/>
        <v>13365.555555555555</v>
      </c>
      <c r="J29">
        <f t="shared" ref="J29:K29" si="138">(I28+I29+I30)/3</f>
        <v>13295.651577503428</v>
      </c>
      <c r="K29">
        <f t="shared" si="138"/>
        <v>13236.512726718487</v>
      </c>
      <c r="L29">
        <f t="shared" ref="L29" si="139">(K28+K29+K30)/3</f>
        <v>13185.756236346084</v>
      </c>
      <c r="N29">
        <f t="shared" si="2"/>
        <v>13185.756236346084</v>
      </c>
    </row>
    <row r="30" spans="1:19" x14ac:dyDescent="0.3">
      <c r="A30">
        <v>49</v>
      </c>
      <c r="B30">
        <v>14610</v>
      </c>
      <c r="C30">
        <f t="shared" si="3"/>
        <v>12930</v>
      </c>
      <c r="D30">
        <f t="shared" ref="D30:E30" si="140">(C29+C30+C31)/3</f>
        <v>12930</v>
      </c>
      <c r="E30">
        <f t="shared" si="140"/>
        <v>12743.333333333334</v>
      </c>
      <c r="F30">
        <f t="shared" ref="F30:G30" si="141">(E29+E30+E31)/3</f>
        <v>12681.111111111111</v>
      </c>
      <c r="G30">
        <f t="shared" si="141"/>
        <v>12618.888888888889</v>
      </c>
      <c r="H30">
        <f t="shared" ref="H30:I30" si="142">(G29+G30+G31)/3</f>
        <v>12577.407407407407</v>
      </c>
      <c r="I30">
        <f t="shared" si="142"/>
        <v>12542.839506172839</v>
      </c>
      <c r="J30">
        <f t="shared" ref="J30:K30" si="143">(I29+I30+I31)/3</f>
        <v>12515.185185185184</v>
      </c>
      <c r="K30">
        <f t="shared" si="143"/>
        <v>12491.883859167809</v>
      </c>
      <c r="L30">
        <f t="shared" ref="L30" si="144">(K29+K30+K31)/3</f>
        <v>12472.170908906162</v>
      </c>
      <c r="N30">
        <f t="shared" si="2"/>
        <v>12472.170908906162</v>
      </c>
    </row>
    <row r="31" spans="1:19" x14ac:dyDescent="0.3">
      <c r="A31">
        <v>50</v>
      </c>
      <c r="B31">
        <v>9570</v>
      </c>
      <c r="C31">
        <f t="shared" si="3"/>
        <v>11250</v>
      </c>
      <c r="D31">
        <f t="shared" ref="D31:E31" si="145">(C30+C31+C32)/3</f>
        <v>11250</v>
      </c>
      <c r="E31">
        <f t="shared" si="145"/>
        <v>11436.666666666666</v>
      </c>
      <c r="F31">
        <f t="shared" ref="F31:G31" si="146">(E30+E31+E32)/3</f>
        <v>11498.888888888889</v>
      </c>
      <c r="G31">
        <f t="shared" si="146"/>
        <v>11561.111111111111</v>
      </c>
      <c r="H31">
        <f t="shared" ref="H31:I31" si="147">(G30+G31+G32)/3</f>
        <v>11602.592592592593</v>
      </c>
      <c r="I31">
        <f t="shared" si="147"/>
        <v>11637.160493827161</v>
      </c>
      <c r="J31">
        <f t="shared" ref="J31:K31" si="148">(I30+I31+I32)/3</f>
        <v>11664.814814814816</v>
      </c>
      <c r="K31">
        <f t="shared" si="148"/>
        <v>11688.116140832191</v>
      </c>
      <c r="L31">
        <f t="shared" ref="L31" si="149">(K30+K31+K32)/3</f>
        <v>11707.85466307643</v>
      </c>
      <c r="N31">
        <f t="shared" si="2"/>
        <v>11707.85466307643</v>
      </c>
    </row>
    <row r="32" spans="1:19" x14ac:dyDescent="0.3">
      <c r="A32">
        <v>51</v>
      </c>
      <c r="B32">
        <v>9570</v>
      </c>
      <c r="C32">
        <f t="shared" si="3"/>
        <v>9570</v>
      </c>
      <c r="D32">
        <f t="shared" ref="D32:E32" si="150">(C31+C32+C33)/3</f>
        <v>10130</v>
      </c>
      <c r="E32">
        <f t="shared" si="150"/>
        <v>10316.666666666666</v>
      </c>
      <c r="F32">
        <f t="shared" ref="F32:G32" si="151">(E31+E32+E33)/3</f>
        <v>10503.333333333334</v>
      </c>
      <c r="G32">
        <f t="shared" si="151"/>
        <v>10627.777777777779</v>
      </c>
      <c r="H32">
        <f t="shared" ref="H32:I32" si="152">(G31+G32+G33)/3</f>
        <v>10731.481481481482</v>
      </c>
      <c r="I32">
        <f t="shared" si="152"/>
        <v>10814.444444444445</v>
      </c>
      <c r="J32">
        <f t="shared" ref="J32:K32" si="153">(I31+I32+I33)/3</f>
        <v>10884.348422496572</v>
      </c>
      <c r="K32">
        <f t="shared" si="153"/>
        <v>10943.563989229287</v>
      </c>
      <c r="L32">
        <f t="shared" ref="L32" si="154">(K31+K32+K33)/3</f>
        <v>10994.525055462414</v>
      </c>
      <c r="N32">
        <f t="shared" si="2"/>
        <v>10994.525055462414</v>
      </c>
    </row>
    <row r="33" spans="1:41" x14ac:dyDescent="0.3">
      <c r="A33">
        <v>52</v>
      </c>
      <c r="B33">
        <v>9570</v>
      </c>
      <c r="C33">
        <f t="shared" si="3"/>
        <v>9570</v>
      </c>
      <c r="D33">
        <f t="shared" ref="D33:E33" si="155">(C32+C33+C34)/3</f>
        <v>9570</v>
      </c>
      <c r="E33">
        <f t="shared" si="155"/>
        <v>9756.6666666666661</v>
      </c>
      <c r="F33">
        <f t="shared" ref="F33:G33" si="156">(E32+E33+E34)/3</f>
        <v>9881.1111111111113</v>
      </c>
      <c r="G33">
        <f t="shared" si="156"/>
        <v>10005.555555555555</v>
      </c>
      <c r="H33">
        <f t="shared" ref="H33:I33" si="157">(G32+G33+G34)/3</f>
        <v>10109.259259259261</v>
      </c>
      <c r="I33">
        <f t="shared" si="157"/>
        <v>10201.440329218109</v>
      </c>
      <c r="J33">
        <f t="shared" ref="J33:K33" si="158">(I32+I33+I34)/3</f>
        <v>10281.528730376469</v>
      </c>
      <c r="K33">
        <f t="shared" si="158"/>
        <v>10351.895036325766</v>
      </c>
      <c r="L33">
        <f t="shared" ref="L33" si="159">(K32+K33+K34)/3</f>
        <v>10413.629528019106</v>
      </c>
      <c r="N33">
        <f t="shared" si="2"/>
        <v>10413.629528019106</v>
      </c>
    </row>
    <row r="34" spans="1:41" x14ac:dyDescent="0.3">
      <c r="A34">
        <v>53</v>
      </c>
      <c r="B34">
        <v>9570</v>
      </c>
      <c r="C34">
        <f t="shared" si="3"/>
        <v>9570</v>
      </c>
      <c r="D34">
        <f t="shared" ref="D34:E34" si="160">(C33+C34+C35)/3</f>
        <v>9570</v>
      </c>
      <c r="E34">
        <f t="shared" si="160"/>
        <v>9570</v>
      </c>
      <c r="F34">
        <f t="shared" ref="F34:G34" si="161">(E33+E34+E35)/3</f>
        <v>9632.2222222222208</v>
      </c>
      <c r="G34">
        <f t="shared" si="161"/>
        <v>9694.4444444444434</v>
      </c>
      <c r="H34">
        <f t="shared" ref="H34:I34" si="162">(G33+G34+G35)/3</f>
        <v>9763.5802469135797</v>
      </c>
      <c r="I34">
        <f t="shared" si="162"/>
        <v>9828.7014174668493</v>
      </c>
      <c r="J34">
        <f t="shared" ref="J34:K34" si="163">(I33+I34+I35)/3</f>
        <v>9889.8079561042541</v>
      </c>
      <c r="K34">
        <f t="shared" si="163"/>
        <v>9945.4295585022628</v>
      </c>
      <c r="L34">
        <f t="shared" ref="L34" si="164">(K33+K34+K35)/3</f>
        <v>9995.7562363460875</v>
      </c>
      <c r="N34">
        <f t="shared" si="2"/>
        <v>9995.7562363460875</v>
      </c>
    </row>
    <row r="35" spans="1:41" x14ac:dyDescent="0.3">
      <c r="A35">
        <v>54</v>
      </c>
      <c r="B35">
        <v>9570</v>
      </c>
      <c r="C35">
        <f t="shared" si="3"/>
        <v>9570</v>
      </c>
      <c r="D35">
        <f t="shared" ref="D35:E35" si="165">(C34+C35+C36)/3</f>
        <v>9570</v>
      </c>
      <c r="E35">
        <f t="shared" si="165"/>
        <v>9570</v>
      </c>
      <c r="F35">
        <f t="shared" ref="F35:G35" si="166">(E34+E35+E36)/3</f>
        <v>9570</v>
      </c>
      <c r="G35">
        <f t="shared" si="166"/>
        <v>9590.7407407407391</v>
      </c>
      <c r="H35">
        <f t="shared" ref="H35:I35" si="167">(G34+G35+G36)/3</f>
        <v>9613.2647462277091</v>
      </c>
      <c r="I35">
        <f t="shared" si="167"/>
        <v>9639.2821216278007</v>
      </c>
      <c r="J35">
        <f t="shared" ref="J35:K35" si="168">(I34+I35+I36)/3</f>
        <v>9664.9519890260635</v>
      </c>
      <c r="K35">
        <f t="shared" si="168"/>
        <v>9689.9441142102314</v>
      </c>
      <c r="L35">
        <f t="shared" ref="L35" si="169">(K34+K35+K36)/3</f>
        <v>9713.5482395976214</v>
      </c>
      <c r="N35">
        <f t="shared" si="2"/>
        <v>9713.5482395976214</v>
      </c>
    </row>
    <row r="36" spans="1:41" x14ac:dyDescent="0.3">
      <c r="A36">
        <v>55</v>
      </c>
      <c r="B36">
        <v>9570</v>
      </c>
      <c r="C36">
        <f t="shared" si="3"/>
        <v>9570</v>
      </c>
      <c r="D36">
        <f t="shared" ref="D36:E36" si="170">(C35+C36+C37)/3</f>
        <v>9570</v>
      </c>
      <c r="E36">
        <f t="shared" si="170"/>
        <v>9570</v>
      </c>
      <c r="F36">
        <f t="shared" ref="F36:G36" si="171">(E35+E36+E37)/3</f>
        <v>9570</v>
      </c>
      <c r="G36">
        <f t="shared" si="171"/>
        <v>9554.609053497943</v>
      </c>
      <c r="H36">
        <f t="shared" ref="H36:I36" si="172">(G35+G36+G37)/3</f>
        <v>9541.0013717421116</v>
      </c>
      <c r="I36">
        <f t="shared" si="172"/>
        <v>9526.8724279835387</v>
      </c>
      <c r="J36">
        <f t="shared" ref="J36:K36" si="173">(I35+I36+I37)/3</f>
        <v>9515.0723975003802</v>
      </c>
      <c r="K36">
        <f t="shared" si="173"/>
        <v>9505.2710460803719</v>
      </c>
      <c r="L36">
        <f t="shared" ref="L36" si="174">(K35+K36+K37)/3</f>
        <v>9497.6502565665778</v>
      </c>
      <c r="N36">
        <f t="shared" si="2"/>
        <v>9497.6502565665778</v>
      </c>
    </row>
    <row r="37" spans="1:41" x14ac:dyDescent="0.3">
      <c r="A37">
        <v>56</v>
      </c>
      <c r="B37">
        <v>9570</v>
      </c>
      <c r="C37">
        <f t="shared" si="3"/>
        <v>9570</v>
      </c>
      <c r="D37">
        <f t="shared" ref="D37:E37" si="175">(C36+C37+C38)/3</f>
        <v>9570</v>
      </c>
      <c r="E37">
        <f t="shared" si="175"/>
        <v>9570</v>
      </c>
      <c r="F37">
        <f t="shared" ref="F37:G37" si="176">(E36+E37+E38)/3</f>
        <v>9523.8271604938273</v>
      </c>
      <c r="G37">
        <f t="shared" si="176"/>
        <v>9477.6543209876545</v>
      </c>
      <c r="H37">
        <f t="shared" ref="H37:I37" si="177">(G36+G37+G38)/3</f>
        <v>9426.3511659807973</v>
      </c>
      <c r="I37">
        <f t="shared" si="177"/>
        <v>9379.0626428898031</v>
      </c>
      <c r="J37">
        <f t="shared" ref="J37:K37" si="178">(I36+I37+I38)/3</f>
        <v>9335.7887517146755</v>
      </c>
      <c r="K37">
        <f t="shared" si="178"/>
        <v>9297.7356094091338</v>
      </c>
      <c r="L37">
        <f t="shared" ref="L37" si="179">(K36+K37+K38)/3</f>
        <v>9264.6471574455099</v>
      </c>
      <c r="N37">
        <f t="shared" si="2"/>
        <v>9264.6471574455099</v>
      </c>
    </row>
    <row r="38" spans="1:41" x14ac:dyDescent="0.3">
      <c r="A38">
        <v>57</v>
      </c>
      <c r="B38">
        <v>9570</v>
      </c>
      <c r="C38">
        <f t="shared" si="3"/>
        <v>9570</v>
      </c>
      <c r="D38">
        <f t="shared" ref="D38:E38" si="180">(C37+C38+C39)/3</f>
        <v>9570</v>
      </c>
      <c r="E38">
        <f t="shared" si="180"/>
        <v>9431.4814814814818</v>
      </c>
      <c r="F38">
        <f t="shared" ref="F38:G38" si="181">(E37+E38+E39)/3</f>
        <v>9339.1358024691363</v>
      </c>
      <c r="G38">
        <f t="shared" si="181"/>
        <v>9246.7901234567908</v>
      </c>
      <c r="H38">
        <f t="shared" ref="H38:I38" si="182">(G37+G38+G39)/3</f>
        <v>9169.8353909465022</v>
      </c>
      <c r="I38">
        <f t="shared" si="182"/>
        <v>9101.4311842706902</v>
      </c>
      <c r="J38">
        <f t="shared" ref="J38:K38" si="183">(I37+I38+I39)/3</f>
        <v>9042.3456790123455</v>
      </c>
      <c r="K38">
        <f t="shared" si="183"/>
        <v>8990.9348168470242</v>
      </c>
      <c r="L38">
        <f t="shared" ref="L38" si="184">(K37+K38+K39)/3</f>
        <v>8946.5045978763392</v>
      </c>
      <c r="N38">
        <f t="shared" si="2"/>
        <v>8946.5045978763392</v>
      </c>
    </row>
    <row r="39" spans="1:41" x14ac:dyDescent="0.3">
      <c r="A39">
        <v>58</v>
      </c>
      <c r="B39">
        <v>9570</v>
      </c>
      <c r="C39">
        <f t="shared" si="3"/>
        <v>9570</v>
      </c>
      <c r="D39">
        <f t="shared" ref="D39:E39" si="185">(C38+C39+C40)/3</f>
        <v>9154.4444444444453</v>
      </c>
      <c r="E39">
        <f t="shared" si="185"/>
        <v>9015.925925925927</v>
      </c>
      <c r="F39">
        <f t="shared" ref="F39:G39" si="186">(E38+E39+E40)/3</f>
        <v>8877.4074074074088</v>
      </c>
      <c r="G39">
        <f t="shared" si="186"/>
        <v>8785.0617283950633</v>
      </c>
      <c r="H39">
        <f t="shared" ref="H39:I39" si="187">(G38+G39+G40)/3</f>
        <v>8708.1069958847747</v>
      </c>
      <c r="I39">
        <f t="shared" si="187"/>
        <v>8646.5432098765432</v>
      </c>
      <c r="J39">
        <f t="shared" ref="J39:K39" si="188">(I38+I39+I40)/3</f>
        <v>8594.6700198140534</v>
      </c>
      <c r="K39">
        <f t="shared" si="188"/>
        <v>8550.8433673728596</v>
      </c>
      <c r="L39">
        <f t="shared" ref="L39" si="189">(K38+K39+K40)/3</f>
        <v>8513.3338413859656</v>
      </c>
      <c r="N39">
        <f t="shared" si="2"/>
        <v>8513.3338413859656</v>
      </c>
    </row>
    <row r="40" spans="1:41" x14ac:dyDescent="0.3">
      <c r="A40">
        <v>59</v>
      </c>
      <c r="B40">
        <v>9570</v>
      </c>
      <c r="C40">
        <f t="shared" si="3"/>
        <v>8323.3333333333339</v>
      </c>
      <c r="D40">
        <f t="shared" ref="D40:E40" si="190">(C39+C40+C41)/3</f>
        <v>8323.3333333333339</v>
      </c>
      <c r="E40">
        <f t="shared" si="190"/>
        <v>8184.8148148148166</v>
      </c>
      <c r="F40">
        <f t="shared" ref="F40:G40" si="191">(E39+E40+E41)/3</f>
        <v>8138.6419753086439</v>
      </c>
      <c r="G40">
        <f t="shared" si="191"/>
        <v>8092.4691358024711</v>
      </c>
      <c r="H40">
        <f t="shared" ref="H40:I40" si="192">(G39+G40+G41)/3</f>
        <v>8061.6872427983553</v>
      </c>
      <c r="I40">
        <f t="shared" si="192"/>
        <v>8036.0356652949258</v>
      </c>
      <c r="J40">
        <f t="shared" ref="J40:K40" si="193">(I39+I40+I41)/3</f>
        <v>8015.5144032921817</v>
      </c>
      <c r="K40">
        <f t="shared" si="193"/>
        <v>7998.2233399380175</v>
      </c>
      <c r="L40">
        <f t="shared" ref="L40" si="194">(K39+K40+K41)/3</f>
        <v>7983.6144557909538</v>
      </c>
      <c r="N40">
        <f t="shared" si="2"/>
        <v>7983.6144557909538</v>
      </c>
    </row>
    <row r="41" spans="1:41" x14ac:dyDescent="0.3">
      <c r="A41">
        <v>60</v>
      </c>
      <c r="B41">
        <v>5830</v>
      </c>
      <c r="C41">
        <f t="shared" si="3"/>
        <v>7076.666666666667</v>
      </c>
      <c r="D41">
        <f t="shared" ref="D41:E41" si="195">(C40+C41+C42)/3</f>
        <v>7076.666666666667</v>
      </c>
      <c r="E41">
        <f t="shared" si="195"/>
        <v>7215.1851851851852</v>
      </c>
      <c r="F41">
        <f t="shared" ref="F41:G41" si="196">(E40+E41+E42)/3</f>
        <v>7261.3580246913589</v>
      </c>
      <c r="G41">
        <f t="shared" si="196"/>
        <v>7307.5308641975316</v>
      </c>
      <c r="H41">
        <f t="shared" ref="H41:I41" si="197">(G40+G41+G42)/3</f>
        <v>7338.3127572016465</v>
      </c>
      <c r="I41">
        <f t="shared" si="197"/>
        <v>7363.964334705076</v>
      </c>
      <c r="J41">
        <f t="shared" ref="J41:K41" si="198">(I40+I41+I42)/3</f>
        <v>7384.4855967078192</v>
      </c>
      <c r="K41">
        <f t="shared" si="198"/>
        <v>7401.7766600619825</v>
      </c>
      <c r="L41">
        <f t="shared" ref="L41" si="199">(K40+K41+K42)/3</f>
        <v>7416.4243255601277</v>
      </c>
      <c r="N41">
        <f t="shared" si="2"/>
        <v>7416.4243255601277</v>
      </c>
    </row>
    <row r="42" spans="1:41" x14ac:dyDescent="0.3">
      <c r="A42">
        <v>61</v>
      </c>
      <c r="B42">
        <v>5830</v>
      </c>
      <c r="C42">
        <f t="shared" si="3"/>
        <v>5830</v>
      </c>
      <c r="D42">
        <f t="shared" ref="D42:E42" si="200">(C41+C42+C43)/3</f>
        <v>6245.5555555555557</v>
      </c>
      <c r="E42">
        <f t="shared" si="200"/>
        <v>6384.0740740740739</v>
      </c>
      <c r="F42">
        <f t="shared" ref="F42:G42" si="201">(E41+E42+E43)/3</f>
        <v>6522.5925925925922</v>
      </c>
      <c r="G42">
        <f t="shared" si="201"/>
        <v>6614.9382716049377</v>
      </c>
      <c r="H42">
        <f t="shared" ref="H42:I42" si="202">(G41+G42+G43)/3</f>
        <v>6691.8930041152262</v>
      </c>
      <c r="I42">
        <f t="shared" si="202"/>
        <v>6753.4567901234559</v>
      </c>
      <c r="J42">
        <f t="shared" ref="J42:K42" si="203">(I41+I42+I43)/3</f>
        <v>6805.3299801859466</v>
      </c>
      <c r="K42">
        <f t="shared" si="203"/>
        <v>6849.2729766803832</v>
      </c>
      <c r="L42">
        <f t="shared" ref="L42" si="204">(K41+K42+K43)/3</f>
        <v>6887.0927534759257</v>
      </c>
      <c r="N42">
        <f t="shared" si="2"/>
        <v>6887.0927534759257</v>
      </c>
    </row>
    <row r="43" spans="1:41" x14ac:dyDescent="0.3">
      <c r="A43">
        <v>62</v>
      </c>
      <c r="B43">
        <v>5830</v>
      </c>
      <c r="C43">
        <f t="shared" si="3"/>
        <v>5830</v>
      </c>
      <c r="D43">
        <f t="shared" ref="D43:E43" si="205">(C42+C43+C44)/3</f>
        <v>5830</v>
      </c>
      <c r="E43">
        <f t="shared" si="205"/>
        <v>5968.5185185185182</v>
      </c>
      <c r="F43">
        <f t="shared" ref="F43:G43" si="206">(E42+E43+E44)/3</f>
        <v>6060.8641975308637</v>
      </c>
      <c r="G43">
        <f t="shared" si="206"/>
        <v>6153.2098765432092</v>
      </c>
      <c r="H43">
        <f t="shared" ref="H43:I43" si="207">(G42+G43+G44)/3</f>
        <v>6230.1646090534969</v>
      </c>
      <c r="I43">
        <f t="shared" si="207"/>
        <v>6298.5688157293089</v>
      </c>
      <c r="J43">
        <f t="shared" ref="J43:K43" si="208">(I42+I43+I44)/3</f>
        <v>6358.0033531473855</v>
      </c>
      <c r="K43">
        <f t="shared" si="208"/>
        <v>6410.2286236854134</v>
      </c>
      <c r="L43">
        <f t="shared" ref="L43" si="209">(K42+K43+K44)/3</f>
        <v>6456.054971295026</v>
      </c>
      <c r="N43">
        <f t="shared" si="2"/>
        <v>6456.054971295026</v>
      </c>
    </row>
    <row r="44" spans="1:41" x14ac:dyDescent="0.3">
      <c r="A44">
        <v>63</v>
      </c>
      <c r="B44">
        <v>5830</v>
      </c>
      <c r="C44">
        <f t="shared" si="3"/>
        <v>5830</v>
      </c>
      <c r="D44">
        <f t="shared" ref="D44:E44" si="210">(C43+C44+C45)/3</f>
        <v>5830</v>
      </c>
      <c r="E44">
        <f t="shared" si="210"/>
        <v>5830</v>
      </c>
      <c r="F44">
        <f t="shared" ref="F44:G44" si="211">(E43+E44+E45)/3</f>
        <v>5876.1728395061727</v>
      </c>
      <c r="G44">
        <f t="shared" si="211"/>
        <v>5922.3456790123455</v>
      </c>
      <c r="H44">
        <f t="shared" ref="H44:I44" si="212">(G43+G44+G45)/3</f>
        <v>5973.6488340192045</v>
      </c>
      <c r="I44">
        <f t="shared" si="212"/>
        <v>6021.9844535893908</v>
      </c>
      <c r="J44">
        <f t="shared" ref="J44:K44" si="213">(I43+I44+I45)/3</f>
        <v>6067.352537722908</v>
      </c>
      <c r="K44">
        <f t="shared" si="213"/>
        <v>6108.6633135192797</v>
      </c>
      <c r="L44">
        <f t="shared" ref="L44" si="214">(K43+K44+K45)/3</f>
        <v>6146.0564954529282</v>
      </c>
      <c r="N44">
        <f t="shared" si="2"/>
        <v>6146.0564954529282</v>
      </c>
    </row>
    <row r="45" spans="1:41" x14ac:dyDescent="0.3">
      <c r="A45">
        <v>64</v>
      </c>
      <c r="B45">
        <v>5830</v>
      </c>
      <c r="C45">
        <f t="shared" si="3"/>
        <v>5830</v>
      </c>
      <c r="D45">
        <f t="shared" ref="D45:E45" si="215">(C44+C45+C46)/3</f>
        <v>5830</v>
      </c>
      <c r="E45">
        <f t="shared" si="215"/>
        <v>5830</v>
      </c>
      <c r="F45">
        <f t="shared" ref="F45:G45" si="216">(E44+E45+E46)/3</f>
        <v>5830</v>
      </c>
      <c r="G45">
        <f t="shared" si="216"/>
        <v>5845.3909465020579</v>
      </c>
      <c r="H45">
        <f t="shared" ref="H45:I45" si="217">(G44+G45+G46)/3</f>
        <v>5862.1399176954737</v>
      </c>
      <c r="I45">
        <f t="shared" si="217"/>
        <v>5881.5043438500225</v>
      </c>
      <c r="J45">
        <f t="shared" ref="J45:K45" si="218">(I44+I45+I46)/3</f>
        <v>5900.6340496875464</v>
      </c>
      <c r="K45">
        <f t="shared" si="218"/>
        <v>5919.2775491540924</v>
      </c>
      <c r="L45">
        <f t="shared" ref="L45" si="219">(K44+K45+K46)/3</f>
        <v>5936.9039272468617</v>
      </c>
      <c r="N45">
        <f t="shared" si="2"/>
        <v>5936.9039272468617</v>
      </c>
    </row>
    <row r="46" spans="1:41" x14ac:dyDescent="0.3">
      <c r="A46">
        <v>65</v>
      </c>
      <c r="B46">
        <v>5830</v>
      </c>
      <c r="C46">
        <f t="shared" si="3"/>
        <v>5830</v>
      </c>
      <c r="D46">
        <f t="shared" ref="D46:E46" si="220">(C45+C46+C47)/3</f>
        <v>5830</v>
      </c>
      <c r="E46">
        <f t="shared" si="220"/>
        <v>5830</v>
      </c>
      <c r="F46">
        <f t="shared" ref="F46:G46" si="221">(E45+E46+E47)/3</f>
        <v>5830</v>
      </c>
      <c r="G46">
        <f t="shared" si="221"/>
        <v>5818.6831275720169</v>
      </c>
      <c r="H46">
        <f t="shared" ref="H46:I46" si="222">(G45+G46+G47)/3</f>
        <v>5808.7242798353909</v>
      </c>
      <c r="I46">
        <f t="shared" si="222"/>
        <v>5798.4133516232287</v>
      </c>
      <c r="J46">
        <f t="shared" ref="J46:K46" si="223">(I45+I46+I47)/3</f>
        <v>5789.846060051822</v>
      </c>
      <c r="K46">
        <f t="shared" si="223"/>
        <v>5782.7709190672149</v>
      </c>
      <c r="L46">
        <f t="shared" ref="L46" si="224">(K45+K46+K47)/3</f>
        <v>5777.3164659858767</v>
      </c>
      <c r="N46">
        <f t="shared" si="2"/>
        <v>5777.3164659858767</v>
      </c>
      <c r="R46">
        <v>0</v>
      </c>
      <c r="S46">
        <v>0</v>
      </c>
      <c r="T46">
        <v>147</v>
      </c>
      <c r="U46">
        <v>294</v>
      </c>
      <c r="V46">
        <v>441</v>
      </c>
      <c r="W46">
        <v>588</v>
      </c>
      <c r="X46">
        <v>735</v>
      </c>
      <c r="Y46">
        <v>882</v>
      </c>
      <c r="Z46">
        <v>1029</v>
      </c>
      <c r="AA46">
        <v>1176</v>
      </c>
      <c r="AB46">
        <v>1323</v>
      </c>
      <c r="AC46">
        <v>1470</v>
      </c>
      <c r="AD46">
        <v>1617</v>
      </c>
      <c r="AE46">
        <v>1764</v>
      </c>
      <c r="AF46">
        <v>1911</v>
      </c>
      <c r="AG46">
        <v>2058</v>
      </c>
      <c r="AH46">
        <v>2205</v>
      </c>
      <c r="AI46">
        <v>2352</v>
      </c>
      <c r="AJ46">
        <v>2499</v>
      </c>
      <c r="AK46">
        <v>2646</v>
      </c>
      <c r="AL46">
        <v>2793</v>
      </c>
      <c r="AM46">
        <v>2940</v>
      </c>
      <c r="AN46">
        <v>3087</v>
      </c>
      <c r="AO46">
        <v>3234</v>
      </c>
    </row>
    <row r="47" spans="1:41" x14ac:dyDescent="0.3">
      <c r="A47">
        <v>66</v>
      </c>
      <c r="B47">
        <v>5830</v>
      </c>
      <c r="C47">
        <f t="shared" si="3"/>
        <v>5830</v>
      </c>
      <c r="D47">
        <f t="shared" ref="D47:E47" si="225">(C46+C47+C48)/3</f>
        <v>5830</v>
      </c>
      <c r="E47">
        <f t="shared" si="225"/>
        <v>5830</v>
      </c>
      <c r="F47">
        <f t="shared" ref="F47:G47" si="226">(E46+E47+E48)/3</f>
        <v>5796.0493827160499</v>
      </c>
      <c r="G47">
        <f t="shared" si="226"/>
        <v>5762.0987654320988</v>
      </c>
      <c r="H47">
        <f t="shared" ref="H47:I47" si="227">(G46+G47+G48)/3</f>
        <v>5724.3758573388213</v>
      </c>
      <c r="I47">
        <f t="shared" si="227"/>
        <v>5689.6204846822138</v>
      </c>
      <c r="J47">
        <f t="shared" ref="J47:K47" si="228">(I46+I47+I48)/3</f>
        <v>5657.8326474622781</v>
      </c>
      <c r="K47">
        <f t="shared" si="228"/>
        <v>5629.9009297363218</v>
      </c>
      <c r="L47">
        <f t="shared" ref="L47" si="229">(K46+K47+K48)/3</f>
        <v>5605.6353198191327</v>
      </c>
      <c r="N47">
        <f t="shared" si="2"/>
        <v>5605.6353198191327</v>
      </c>
      <c r="R47">
        <v>147</v>
      </c>
    </row>
    <row r="48" spans="1:41" x14ac:dyDescent="0.3">
      <c r="A48">
        <v>67</v>
      </c>
      <c r="B48">
        <v>5830</v>
      </c>
      <c r="C48">
        <f t="shared" si="3"/>
        <v>5830</v>
      </c>
      <c r="D48">
        <f t="shared" ref="D48:E48" si="230">(C47+C48+C49)/3</f>
        <v>5830</v>
      </c>
      <c r="E48">
        <f t="shared" si="230"/>
        <v>5728.1481481481487</v>
      </c>
      <c r="F48">
        <f t="shared" ref="F48:G48" si="231">(E47+E48+E49)/3</f>
        <v>5660.2469135802467</v>
      </c>
      <c r="G48">
        <f t="shared" si="231"/>
        <v>5592.3456790123455</v>
      </c>
      <c r="H48">
        <f t="shared" ref="H48:I48" si="232">(G47+G48+G49)/3</f>
        <v>5535.7613168724283</v>
      </c>
      <c r="I48">
        <f t="shared" si="232"/>
        <v>5485.464106081391</v>
      </c>
      <c r="J48">
        <f t="shared" ref="J48:K48" si="233">(I47+I48+I49)/3</f>
        <v>5442.0240816948644</v>
      </c>
      <c r="K48">
        <f t="shared" si="233"/>
        <v>5404.2341106538634</v>
      </c>
      <c r="L48">
        <f t="shared" ref="L48" si="234">(K47+K48+K49)/3</f>
        <v>5371.5856322715035</v>
      </c>
      <c r="N48">
        <f t="shared" si="2"/>
        <v>5371.5856322715035</v>
      </c>
      <c r="R48">
        <v>294</v>
      </c>
    </row>
    <row r="49" spans="1:20" x14ac:dyDescent="0.3">
      <c r="A49">
        <v>68</v>
      </c>
      <c r="B49">
        <v>5830</v>
      </c>
      <c r="C49">
        <f t="shared" si="3"/>
        <v>5830</v>
      </c>
      <c r="D49">
        <f t="shared" ref="D49:E49" si="235">(C48+C49+C50)/3</f>
        <v>5524.4444444444443</v>
      </c>
      <c r="E49">
        <f t="shared" si="235"/>
        <v>5422.5925925925922</v>
      </c>
      <c r="F49">
        <f t="shared" ref="F49:G49" si="236">(E48+E49+E50)/3</f>
        <v>5320.7407407407409</v>
      </c>
      <c r="G49">
        <f t="shared" si="236"/>
        <v>5252.8395061728397</v>
      </c>
      <c r="H49">
        <f t="shared" ref="H49:I49" si="237">(G48+G49+G50)/3</f>
        <v>5196.2551440329225</v>
      </c>
      <c r="I49">
        <f t="shared" si="237"/>
        <v>5150.9876543209875</v>
      </c>
      <c r="J49">
        <f t="shared" ref="J49:K49" si="238">(I48+I49+I50)/3</f>
        <v>5112.8456028044502</v>
      </c>
      <c r="K49">
        <f t="shared" si="238"/>
        <v>5080.6218564243254</v>
      </c>
      <c r="L49">
        <f t="shared" ref="L49" si="239">(K48+K49+K50)/3</f>
        <v>5053.0459448932243</v>
      </c>
      <c r="N49">
        <f t="shared" si="2"/>
        <v>5053.0459448932243</v>
      </c>
      <c r="R49">
        <v>441</v>
      </c>
    </row>
    <row r="50" spans="1:20" x14ac:dyDescent="0.3">
      <c r="A50">
        <v>69</v>
      </c>
      <c r="B50">
        <v>5830</v>
      </c>
      <c r="C50">
        <f t="shared" si="3"/>
        <v>4913.333333333333</v>
      </c>
      <c r="D50">
        <f t="shared" ref="D50:E50" si="240">(C49+C50+C51)/3</f>
        <v>4913.333333333333</v>
      </c>
      <c r="E50">
        <f t="shared" si="240"/>
        <v>4811.4814814814808</v>
      </c>
      <c r="F50">
        <f t="shared" ref="F50:G50" si="241">(E49+E50+E51)/3</f>
        <v>4777.5308641975307</v>
      </c>
      <c r="G50">
        <f t="shared" si="241"/>
        <v>4743.5802469135806</v>
      </c>
      <c r="H50">
        <f t="shared" ref="H50:I50" si="242">(G49+G50+G51)/3</f>
        <v>4720.9465020576135</v>
      </c>
      <c r="I50">
        <f t="shared" si="242"/>
        <v>4702.0850480109739</v>
      </c>
      <c r="J50">
        <f t="shared" ref="J50:K50" si="243">(I49+I50+I51)/3</f>
        <v>4686.9958847736625</v>
      </c>
      <c r="K50">
        <f t="shared" si="243"/>
        <v>4674.2818676014831</v>
      </c>
      <c r="L50">
        <f t="shared" ref="L50" si="244">(K49+K50+K51)/3</f>
        <v>4663.5406188081079</v>
      </c>
      <c r="N50">
        <f t="shared" si="2"/>
        <v>4663.5406188081079</v>
      </c>
      <c r="R50">
        <v>588</v>
      </c>
    </row>
    <row r="51" spans="1:20" x14ac:dyDescent="0.3">
      <c r="A51">
        <v>70</v>
      </c>
      <c r="B51">
        <v>3080</v>
      </c>
      <c r="C51">
        <f t="shared" si="3"/>
        <v>3996.6666666666665</v>
      </c>
      <c r="D51">
        <f t="shared" ref="D51:E51" si="245">(C50+C51+C52)/3</f>
        <v>3996.6666666666665</v>
      </c>
      <c r="E51">
        <f t="shared" si="245"/>
        <v>4098.5185185185182</v>
      </c>
      <c r="F51">
        <f t="shared" ref="F51:G51" si="246">(E50+E51+E52)/3</f>
        <v>4132.4691358024693</v>
      </c>
      <c r="G51">
        <f t="shared" si="246"/>
        <v>4166.4197530864194</v>
      </c>
      <c r="H51">
        <f t="shared" ref="H51:I51" si="247">(G50+G51+G52)/3</f>
        <v>4189.0534979423874</v>
      </c>
      <c r="I51">
        <f t="shared" si="247"/>
        <v>4207.9149519890261</v>
      </c>
      <c r="J51">
        <f t="shared" ref="J51:K51" si="248">(I50+I51+I52)/3</f>
        <v>4223.0041152263375</v>
      </c>
      <c r="K51">
        <f t="shared" si="248"/>
        <v>4235.718132398516</v>
      </c>
      <c r="L51">
        <f t="shared" ref="L51" si="249">(K50+K51+K52)/3</f>
        <v>4246.522718420295</v>
      </c>
      <c r="N51">
        <f t="shared" si="2"/>
        <v>4246.522718420295</v>
      </c>
      <c r="O51">
        <f>N51*P51</f>
        <v>4076.6618096834832</v>
      </c>
      <c r="P51">
        <v>0.96</v>
      </c>
      <c r="Q51">
        <f>N51-O51</f>
        <v>169.86090873681178</v>
      </c>
      <c r="R51">
        <v>735</v>
      </c>
    </row>
    <row r="52" spans="1:20" x14ac:dyDescent="0.3">
      <c r="A52">
        <v>71</v>
      </c>
      <c r="B52">
        <v>3080</v>
      </c>
      <c r="C52">
        <f t="shared" si="3"/>
        <v>3080</v>
      </c>
      <c r="D52">
        <f t="shared" ref="D52:E52" si="250">(C51+C52+C53)/3</f>
        <v>3385.5555555555552</v>
      </c>
      <c r="E52">
        <f t="shared" si="250"/>
        <v>3487.4074074074074</v>
      </c>
      <c r="F52">
        <f t="shared" ref="F52:G52" si="251">(E51+E52+E53)/3</f>
        <v>3589.2592592592591</v>
      </c>
      <c r="G52">
        <f t="shared" si="251"/>
        <v>3657.1604938271607</v>
      </c>
      <c r="H52">
        <f t="shared" ref="H52:I52" si="252">(G51+G52+G53)/3</f>
        <v>3713.7448559670779</v>
      </c>
      <c r="I52">
        <f t="shared" si="252"/>
        <v>3759.0123456790129</v>
      </c>
      <c r="J52">
        <f t="shared" ref="J52:K52" si="253">(I51+I52+I53)/3</f>
        <v>3797.1543971955493</v>
      </c>
      <c r="K52">
        <f t="shared" si="253"/>
        <v>3829.5681552608853</v>
      </c>
      <c r="L52">
        <f t="shared" ref="L52" si="254">(K51+K52+K53)/3</f>
        <v>3857.6507646192144</v>
      </c>
      <c r="N52">
        <f t="shared" si="2"/>
        <v>3857.6507646192144</v>
      </c>
      <c r="O52">
        <f t="shared" ref="O52:O60" si="255">N52*P52</f>
        <v>3510.4621958034854</v>
      </c>
      <c r="P52">
        <v>0.91</v>
      </c>
      <c r="Q52">
        <f t="shared" ref="Q52:Q60" si="256">N52-O52</f>
        <v>347.18856881572901</v>
      </c>
      <c r="R52">
        <v>882</v>
      </c>
    </row>
    <row r="53" spans="1:20" x14ac:dyDescent="0.3">
      <c r="A53">
        <v>72</v>
      </c>
      <c r="B53">
        <v>3080</v>
      </c>
      <c r="C53">
        <f t="shared" si="3"/>
        <v>3080</v>
      </c>
      <c r="D53">
        <f t="shared" ref="D53:E53" si="257">(C52+C53+C54)/3</f>
        <v>3080</v>
      </c>
      <c r="E53">
        <f t="shared" si="257"/>
        <v>3181.8518518518517</v>
      </c>
      <c r="F53">
        <f t="shared" ref="F53:G53" si="258">(E52+E53+E54)/3</f>
        <v>3249.7530864197529</v>
      </c>
      <c r="G53">
        <f t="shared" si="258"/>
        <v>3317.654320987654</v>
      </c>
      <c r="H53">
        <f t="shared" ref="H53:I53" si="259">(G52+G53+G54)/3</f>
        <v>3374.2386831275721</v>
      </c>
      <c r="I53">
        <f t="shared" si="259"/>
        <v>3424.5358939186099</v>
      </c>
      <c r="J53">
        <f t="shared" ref="J53:K53" si="260">(I52+I53+I54)/3</f>
        <v>3468.5459533607686</v>
      </c>
      <c r="K53">
        <f t="shared" si="260"/>
        <v>3507.6660061982425</v>
      </c>
      <c r="L53">
        <f t="shared" ref="L53" si="261">(K52+K53+K54)/3</f>
        <v>3542.59462480313</v>
      </c>
      <c r="N53">
        <f t="shared" si="2"/>
        <v>3542.59462480313</v>
      </c>
      <c r="O53">
        <f t="shared" si="255"/>
        <v>3046.631377330692</v>
      </c>
      <c r="P53">
        <v>0.86</v>
      </c>
      <c r="Q53">
        <f t="shared" si="256"/>
        <v>495.96324747243807</v>
      </c>
      <c r="R53">
        <v>1029</v>
      </c>
    </row>
    <row r="54" spans="1:20" x14ac:dyDescent="0.3">
      <c r="A54">
        <v>73</v>
      </c>
      <c r="B54">
        <v>3080</v>
      </c>
      <c r="C54">
        <f t="shared" si="3"/>
        <v>3080</v>
      </c>
      <c r="D54">
        <f t="shared" ref="D54:E54" si="262">(C53+C54+C55)/3</f>
        <v>3080</v>
      </c>
      <c r="E54">
        <f t="shared" si="262"/>
        <v>3080</v>
      </c>
      <c r="F54">
        <f t="shared" ref="F54:G54" si="263">(E53+E54+E55)/3</f>
        <v>3113.9506172839506</v>
      </c>
      <c r="G54">
        <f t="shared" si="263"/>
        <v>3147.9012345679016</v>
      </c>
      <c r="H54">
        <f t="shared" ref="H54:I54" si="264">(G53+G54+G55)/3</f>
        <v>3185.6241426611796</v>
      </c>
      <c r="I54">
        <f t="shared" si="264"/>
        <v>3222.0896204846827</v>
      </c>
      <c r="J54">
        <f t="shared" ref="J54:K54" si="265">(I53+I54+I55)/3</f>
        <v>3257.297668038409</v>
      </c>
      <c r="K54">
        <f t="shared" si="265"/>
        <v>3290.5497129502619</v>
      </c>
      <c r="L54">
        <f t="shared" ref="L54" si="266">(K53+K54+K55)/3</f>
        <v>3321.8457552202412</v>
      </c>
      <c r="N54">
        <f t="shared" si="2"/>
        <v>3321.8457552202412</v>
      </c>
      <c r="O54">
        <f t="shared" si="255"/>
        <v>2690.6950617283956</v>
      </c>
      <c r="P54">
        <v>0.81</v>
      </c>
      <c r="Q54">
        <f t="shared" si="256"/>
        <v>631.15069349184569</v>
      </c>
      <c r="R54">
        <v>1176</v>
      </c>
    </row>
    <row r="55" spans="1:20" x14ac:dyDescent="0.3">
      <c r="A55">
        <v>74</v>
      </c>
      <c r="B55">
        <v>3080</v>
      </c>
      <c r="C55">
        <f t="shared" si="3"/>
        <v>3080</v>
      </c>
      <c r="D55">
        <f t="shared" ref="D55:E55" si="267">(C54+C55+C56)/3</f>
        <v>3080</v>
      </c>
      <c r="E55">
        <f t="shared" si="267"/>
        <v>3080</v>
      </c>
      <c r="F55">
        <f t="shared" ref="F55:G55" si="268">(E54+E55+E56)/3</f>
        <v>3080</v>
      </c>
      <c r="G55">
        <f t="shared" si="268"/>
        <v>3091.3168724279835</v>
      </c>
      <c r="H55">
        <f t="shared" ref="H55:I55" si="269">(G54+G55+G56)/3</f>
        <v>3106.4060356652953</v>
      </c>
      <c r="I55">
        <f t="shared" si="269"/>
        <v>3125.2674897119341</v>
      </c>
      <c r="J55">
        <f t="shared" ref="J55:K55" si="270">(I54+I55+I56)/3</f>
        <v>3145.8055174516085</v>
      </c>
      <c r="K55">
        <f t="shared" si="270"/>
        <v>3167.3215465122189</v>
      </c>
      <c r="L55">
        <f t="shared" ref="L55" si="271">(K54+K55+K56)/3</f>
        <v>3189.1170045216691</v>
      </c>
      <c r="N55">
        <f t="shared" si="2"/>
        <v>3189.1170045216691</v>
      </c>
      <c r="O55">
        <f t="shared" si="255"/>
        <v>2423.7289234364684</v>
      </c>
      <c r="P55">
        <v>0.76</v>
      </c>
      <c r="Q55">
        <f t="shared" si="256"/>
        <v>765.38808108520061</v>
      </c>
      <c r="R55">
        <v>1323</v>
      </c>
    </row>
    <row r="56" spans="1:20" x14ac:dyDescent="0.3">
      <c r="A56">
        <v>75</v>
      </c>
      <c r="B56">
        <v>3080</v>
      </c>
      <c r="C56">
        <f t="shared" si="3"/>
        <v>3080</v>
      </c>
      <c r="D56">
        <f t="shared" ref="D56:E56" si="272">(C55+C56+C57)/3</f>
        <v>3080</v>
      </c>
      <c r="E56">
        <f t="shared" si="272"/>
        <v>3080</v>
      </c>
      <c r="F56">
        <f t="shared" ref="F56:G56" si="273">(E55+E56+E57)/3</f>
        <v>3080</v>
      </c>
      <c r="G56">
        <f t="shared" si="273"/>
        <v>3080</v>
      </c>
      <c r="H56">
        <f t="shared" ref="H56:I56" si="274">(G55+G56+G57)/3</f>
        <v>3083.7722908093278</v>
      </c>
      <c r="I56">
        <f t="shared" si="274"/>
        <v>3090.0594421582077</v>
      </c>
      <c r="J56">
        <f t="shared" ref="J56:K56" si="275">(I55+I56+I57)/3</f>
        <v>3098.8614540466392</v>
      </c>
      <c r="K56">
        <f t="shared" si="275"/>
        <v>3109.479754102525</v>
      </c>
      <c r="L56">
        <f t="shared" ref="L56" si="276">(K55+K56+K57)/3</f>
        <v>3121.4951989026063</v>
      </c>
      <c r="M56">
        <f>173*T56</f>
        <v>173</v>
      </c>
      <c r="N56">
        <f t="shared" si="2"/>
        <v>2948.4951989026063</v>
      </c>
      <c r="O56">
        <f t="shared" si="255"/>
        <v>2093.4315912208504</v>
      </c>
      <c r="P56">
        <v>0.71</v>
      </c>
      <c r="Q56">
        <f t="shared" si="256"/>
        <v>855.06360768175591</v>
      </c>
      <c r="R56">
        <v>1470</v>
      </c>
      <c r="T56">
        <v>1</v>
      </c>
    </row>
    <row r="57" spans="1:20" x14ac:dyDescent="0.3">
      <c r="A57">
        <v>76</v>
      </c>
      <c r="B57">
        <v>3080</v>
      </c>
      <c r="C57">
        <f t="shared" si="3"/>
        <v>3080</v>
      </c>
      <c r="D57">
        <f t="shared" ref="D57:E57" si="277">(C56+C57+C58)/3</f>
        <v>3080</v>
      </c>
      <c r="E57">
        <f t="shared" si="277"/>
        <v>3080</v>
      </c>
      <c r="F57">
        <f t="shared" ref="F57:G57" si="278">(E56+E57+E58)/3</f>
        <v>3080</v>
      </c>
      <c r="G57">
        <f t="shared" si="278"/>
        <v>3080</v>
      </c>
      <c r="H57">
        <f t="shared" ref="H57:I57" si="279">(G56+G57+G58)/3</f>
        <v>3080</v>
      </c>
      <c r="I57">
        <f t="shared" si="279"/>
        <v>3081.2574302697758</v>
      </c>
      <c r="J57">
        <f t="shared" ref="J57:K57" si="280">(I56+I57+I58)/3</f>
        <v>3083.7722908093278</v>
      </c>
      <c r="K57">
        <f t="shared" si="280"/>
        <v>3087.6842960930753</v>
      </c>
      <c r="L57">
        <f t="shared" ref="L57" si="281">(K56+K57+K58)/3</f>
        <v>3092.853731646599</v>
      </c>
      <c r="M57">
        <f t="shared" ref="M57:M60" si="282">173*T57</f>
        <v>346</v>
      </c>
      <c r="N57">
        <f t="shared" si="2"/>
        <v>2746.853731646599</v>
      </c>
      <c r="O57">
        <f t="shared" si="255"/>
        <v>1812.9234628867555</v>
      </c>
      <c r="P57">
        <v>0.66</v>
      </c>
      <c r="Q57">
        <f t="shared" si="256"/>
        <v>933.93026875984356</v>
      </c>
      <c r="R57">
        <v>1617</v>
      </c>
      <c r="T57">
        <v>2</v>
      </c>
    </row>
    <row r="58" spans="1:20" x14ac:dyDescent="0.3">
      <c r="A58">
        <v>77</v>
      </c>
      <c r="B58">
        <v>3080</v>
      </c>
      <c r="C58">
        <f t="shared" si="3"/>
        <v>3080</v>
      </c>
      <c r="D58">
        <f t="shared" ref="D58:E58" si="283">(C57+C58+C59)/3</f>
        <v>3080</v>
      </c>
      <c r="E58">
        <f t="shared" si="283"/>
        <v>3080</v>
      </c>
      <c r="F58">
        <f t="shared" ref="F58:G58" si="284">(E57+E58+E59)/3</f>
        <v>3080</v>
      </c>
      <c r="G58">
        <f t="shared" si="284"/>
        <v>3080</v>
      </c>
      <c r="H58">
        <f t="shared" ref="H58:I58" si="285">(G57+G58+G59)/3</f>
        <v>3080</v>
      </c>
      <c r="I58">
        <f t="shared" si="285"/>
        <v>3080</v>
      </c>
      <c r="J58">
        <f t="shared" ref="J58:K58" si="286">(I57+I58+I59)/3</f>
        <v>3080.4191434232584</v>
      </c>
      <c r="K58">
        <f t="shared" si="286"/>
        <v>3081.3971447441959</v>
      </c>
      <c r="L58">
        <f t="shared" ref="L58" si="287">(K57+K58+K59)/3</f>
        <v>3083.0737184372301</v>
      </c>
      <c r="M58">
        <f t="shared" si="282"/>
        <v>519</v>
      </c>
      <c r="N58">
        <f t="shared" si="2"/>
        <v>2564.0737184372301</v>
      </c>
      <c r="O58">
        <f t="shared" si="255"/>
        <v>1564.0849682467103</v>
      </c>
      <c r="P58">
        <v>0.61</v>
      </c>
      <c r="Q58">
        <f t="shared" si="256"/>
        <v>999.9887501905198</v>
      </c>
      <c r="R58">
        <v>1764</v>
      </c>
      <c r="T58">
        <v>3</v>
      </c>
    </row>
    <row r="59" spans="1:20" x14ac:dyDescent="0.3">
      <c r="A59">
        <v>78</v>
      </c>
      <c r="B59">
        <v>3080</v>
      </c>
      <c r="C59">
        <f t="shared" si="3"/>
        <v>3080</v>
      </c>
      <c r="D59">
        <f t="shared" ref="D59:E59" si="288">(C58+C59+C60)/3</f>
        <v>3080</v>
      </c>
      <c r="E59">
        <f t="shared" si="288"/>
        <v>3080</v>
      </c>
      <c r="F59">
        <f t="shared" ref="F59:G59" si="289">(E58+E59+E60)/3</f>
        <v>3080</v>
      </c>
      <c r="G59">
        <f t="shared" si="289"/>
        <v>3080</v>
      </c>
      <c r="H59">
        <f t="shared" ref="H59:I59" si="290">(G58+G59+G60)/3</f>
        <v>3080</v>
      </c>
      <c r="I59">
        <f t="shared" si="290"/>
        <v>3080</v>
      </c>
      <c r="J59">
        <f t="shared" ref="J59:K59" si="291">(I58+I59+I60)/3</f>
        <v>3080</v>
      </c>
      <c r="K59">
        <f t="shared" si="291"/>
        <v>3080.1397144744192</v>
      </c>
      <c r="L59">
        <f t="shared" ref="L59" si="292">(K58+K59+K60)/3</f>
        <v>3080.512286406205</v>
      </c>
      <c r="M59">
        <f t="shared" si="282"/>
        <v>692</v>
      </c>
      <c r="N59">
        <f t="shared" si="2"/>
        <v>2388.512286406205</v>
      </c>
      <c r="O59">
        <f t="shared" si="255"/>
        <v>1337.5668803874773</v>
      </c>
      <c r="P59">
        <v>0.56000000000000105</v>
      </c>
      <c r="Q59">
        <f t="shared" si="256"/>
        <v>1050.9454060187277</v>
      </c>
      <c r="R59">
        <v>1911</v>
      </c>
      <c r="T59">
        <v>4</v>
      </c>
    </row>
    <row r="60" spans="1:20" x14ac:dyDescent="0.3">
      <c r="A60">
        <v>79</v>
      </c>
      <c r="B60">
        <v>3080</v>
      </c>
      <c r="C60">
        <f t="shared" ref="C60:L60" si="293">(B59+B60)/2</f>
        <v>3080</v>
      </c>
      <c r="D60">
        <f t="shared" si="293"/>
        <v>3080</v>
      </c>
      <c r="E60">
        <f t="shared" si="293"/>
        <v>3080</v>
      </c>
      <c r="F60">
        <f t="shared" si="293"/>
        <v>3080</v>
      </c>
      <c r="G60">
        <f t="shared" si="293"/>
        <v>3080</v>
      </c>
      <c r="H60">
        <f t="shared" si="293"/>
        <v>3080</v>
      </c>
      <c r="I60">
        <f t="shared" si="293"/>
        <v>3080</v>
      </c>
      <c r="J60">
        <f t="shared" si="293"/>
        <v>3080</v>
      </c>
      <c r="K60">
        <f t="shared" si="293"/>
        <v>3080</v>
      </c>
      <c r="L60">
        <f t="shared" si="293"/>
        <v>3080.0698572372094</v>
      </c>
      <c r="M60">
        <f t="shared" si="282"/>
        <v>865</v>
      </c>
      <c r="N60">
        <f t="shared" si="2"/>
        <v>2215.0698572372094</v>
      </c>
      <c r="O60">
        <f t="shared" si="255"/>
        <v>1129.6856271909789</v>
      </c>
      <c r="P60">
        <v>0.51000000000000101</v>
      </c>
      <c r="Q60">
        <f t="shared" si="256"/>
        <v>1085.3842300462304</v>
      </c>
      <c r="R60">
        <v>2058</v>
      </c>
      <c r="T60">
        <v>5</v>
      </c>
    </row>
    <row r="61" spans="1:20" x14ac:dyDescent="0.3">
      <c r="A61">
        <v>80</v>
      </c>
      <c r="O61">
        <f>N60-O60</f>
        <v>1085.3842300462304</v>
      </c>
      <c r="R61">
        <v>2205</v>
      </c>
    </row>
    <row r="62" spans="1:20" x14ac:dyDescent="0.3">
      <c r="A62">
        <v>81</v>
      </c>
      <c r="R62">
        <v>2352</v>
      </c>
    </row>
    <row r="63" spans="1:20" x14ac:dyDescent="0.3">
      <c r="A63">
        <v>82</v>
      </c>
      <c r="R63">
        <v>2499</v>
      </c>
    </row>
    <row r="64" spans="1:20" x14ac:dyDescent="0.3">
      <c r="A64">
        <v>83</v>
      </c>
      <c r="R64">
        <v>2646</v>
      </c>
    </row>
    <row r="65" spans="1:18" x14ac:dyDescent="0.3">
      <c r="A65">
        <v>84</v>
      </c>
      <c r="R65">
        <v>2793</v>
      </c>
    </row>
    <row r="66" spans="1:18" x14ac:dyDescent="0.3">
      <c r="A66">
        <v>85</v>
      </c>
      <c r="R66">
        <v>2940</v>
      </c>
    </row>
    <row r="67" spans="1:18" x14ac:dyDescent="0.3">
      <c r="A67">
        <v>86</v>
      </c>
      <c r="R67">
        <v>3087</v>
      </c>
    </row>
    <row r="68" spans="1:18" x14ac:dyDescent="0.3">
      <c r="A68">
        <v>87</v>
      </c>
      <c r="R68">
        <v>3234</v>
      </c>
    </row>
    <row r="69" spans="1:18" x14ac:dyDescent="0.3">
      <c r="A69">
        <v>88</v>
      </c>
    </row>
    <row r="70" spans="1:18" x14ac:dyDescent="0.3">
      <c r="A70">
        <v>89</v>
      </c>
    </row>
    <row r="71" spans="1:18" x14ac:dyDescent="0.3">
      <c r="A71">
        <v>90</v>
      </c>
      <c r="O71">
        <v>0</v>
      </c>
    </row>
    <row r="81" spans="4:52" x14ac:dyDescent="0.3">
      <c r="D81">
        <v>106500</v>
      </c>
    </row>
    <row r="83" spans="4:52" x14ac:dyDescent="0.3">
      <c r="D83">
        <v>209900</v>
      </c>
    </row>
    <row r="85" spans="4:52" x14ac:dyDescent="0.3">
      <c r="D85">
        <v>135300</v>
      </c>
    </row>
    <row r="87" spans="4:52" x14ac:dyDescent="0.3">
      <c r="D87">
        <v>82000</v>
      </c>
    </row>
    <row r="89" spans="4:52" x14ac:dyDescent="0.3">
      <c r="D89">
        <v>38700</v>
      </c>
    </row>
    <row r="90" spans="4:52" x14ac:dyDescent="0.3">
      <c r="P90">
        <v>63700</v>
      </c>
      <c r="Q90">
        <v>59200</v>
      </c>
      <c r="R90">
        <v>58100</v>
      </c>
      <c r="S90">
        <v>55200</v>
      </c>
      <c r="T90">
        <v>54400</v>
      </c>
      <c r="U90">
        <v>53300</v>
      </c>
      <c r="V90">
        <v>51400</v>
      </c>
      <c r="W90">
        <v>49200</v>
      </c>
      <c r="Y90">
        <v>51000</v>
      </c>
      <c r="Z90">
        <v>50100</v>
      </c>
      <c r="AA90">
        <v>45900</v>
      </c>
      <c r="AB90">
        <v>47300</v>
      </c>
      <c r="AC90">
        <v>43600</v>
      </c>
      <c r="AD90">
        <v>43200</v>
      </c>
      <c r="AE90">
        <v>44100</v>
      </c>
      <c r="AF90">
        <v>38600</v>
      </c>
      <c r="AG90">
        <v>42600</v>
      </c>
      <c r="AH90">
        <v>46300</v>
      </c>
      <c r="AI90">
        <v>41200</v>
      </c>
      <c r="AJ90">
        <v>35200</v>
      </c>
      <c r="AK90">
        <v>35300</v>
      </c>
      <c r="AL90">
        <v>32100</v>
      </c>
      <c r="AM90">
        <v>37600</v>
      </c>
      <c r="AN90">
        <v>30400</v>
      </c>
      <c r="AO90">
        <v>30500</v>
      </c>
      <c r="AP90">
        <v>31000</v>
      </c>
      <c r="AQ90">
        <v>30000</v>
      </c>
      <c r="AR90">
        <v>33900</v>
      </c>
      <c r="AS90">
        <v>27800</v>
      </c>
      <c r="AT90">
        <v>23000</v>
      </c>
      <c r="AU90">
        <v>23400</v>
      </c>
      <c r="AV90">
        <v>22300</v>
      </c>
      <c r="AW90">
        <v>24500</v>
      </c>
      <c r="AX90">
        <v>29300</v>
      </c>
      <c r="AY90">
        <v>28100</v>
      </c>
      <c r="AZ90">
        <v>27200</v>
      </c>
    </row>
    <row r="91" spans="4:52" x14ac:dyDescent="0.3">
      <c r="D91">
        <v>15800</v>
      </c>
      <c r="P91">
        <v>109000</v>
      </c>
      <c r="Q91">
        <v>107100</v>
      </c>
      <c r="R91">
        <v>106200</v>
      </c>
      <c r="S91">
        <v>100800</v>
      </c>
      <c r="T91">
        <v>99800</v>
      </c>
      <c r="U91">
        <v>104200</v>
      </c>
      <c r="V91">
        <v>95900</v>
      </c>
      <c r="W91">
        <v>93400</v>
      </c>
      <c r="Y91">
        <v>100200</v>
      </c>
      <c r="Z91">
        <v>99600</v>
      </c>
      <c r="AA91">
        <v>90400</v>
      </c>
      <c r="AB91">
        <v>97400</v>
      </c>
      <c r="AC91">
        <v>88600</v>
      </c>
      <c r="AD91">
        <v>95000</v>
      </c>
      <c r="AE91">
        <v>92900</v>
      </c>
      <c r="AF91">
        <v>88900</v>
      </c>
      <c r="AG91">
        <v>93600</v>
      </c>
      <c r="AH91">
        <v>93700</v>
      </c>
      <c r="AI91">
        <v>88700</v>
      </c>
      <c r="AJ91">
        <v>78200</v>
      </c>
      <c r="AK91">
        <v>78900</v>
      </c>
      <c r="AL91">
        <v>73700</v>
      </c>
      <c r="AM91">
        <v>79000</v>
      </c>
      <c r="AN91">
        <v>69800</v>
      </c>
      <c r="AO91">
        <v>69500</v>
      </c>
      <c r="AP91">
        <v>66100</v>
      </c>
      <c r="AQ91">
        <v>64000</v>
      </c>
      <c r="AR91">
        <v>68500</v>
      </c>
      <c r="AS91">
        <v>57500</v>
      </c>
      <c r="AT91">
        <v>52800</v>
      </c>
      <c r="AU91">
        <v>50000</v>
      </c>
      <c r="AV91">
        <v>44800</v>
      </c>
      <c r="AW91">
        <v>49300</v>
      </c>
      <c r="AX91">
        <v>52600</v>
      </c>
      <c r="AY91">
        <v>49700</v>
      </c>
      <c r="AZ91">
        <v>48900</v>
      </c>
    </row>
    <row r="92" spans="4:52" x14ac:dyDescent="0.3">
      <c r="P92">
        <v>130700</v>
      </c>
      <c r="Q92">
        <v>147800</v>
      </c>
      <c r="R92">
        <v>161300</v>
      </c>
      <c r="S92">
        <v>167500</v>
      </c>
      <c r="T92">
        <v>172400</v>
      </c>
      <c r="U92">
        <v>184500</v>
      </c>
      <c r="V92">
        <v>185300</v>
      </c>
      <c r="W92">
        <v>184900</v>
      </c>
      <c r="Y92">
        <v>205200</v>
      </c>
      <c r="Z92">
        <v>202300</v>
      </c>
      <c r="AA92">
        <v>199800</v>
      </c>
      <c r="AB92">
        <v>211500</v>
      </c>
      <c r="AC92">
        <v>212800</v>
      </c>
      <c r="AD92">
        <v>221200</v>
      </c>
      <c r="AE92">
        <v>217900</v>
      </c>
      <c r="AF92">
        <v>216600</v>
      </c>
      <c r="AG92">
        <v>221200</v>
      </c>
      <c r="AH92">
        <v>213300</v>
      </c>
      <c r="AI92">
        <v>217300</v>
      </c>
      <c r="AJ92">
        <v>212600</v>
      </c>
      <c r="AK92">
        <v>207800</v>
      </c>
      <c r="AL92">
        <v>201900</v>
      </c>
      <c r="AM92">
        <v>202100</v>
      </c>
      <c r="AN92">
        <v>197000</v>
      </c>
      <c r="AO92">
        <v>204400</v>
      </c>
      <c r="AP92">
        <v>194900</v>
      </c>
      <c r="AQ92">
        <v>195600</v>
      </c>
      <c r="AR92">
        <v>201100</v>
      </c>
      <c r="AS92">
        <v>192500</v>
      </c>
      <c r="AT92">
        <v>187700</v>
      </c>
      <c r="AU92">
        <v>184700</v>
      </c>
      <c r="AV92">
        <v>183300</v>
      </c>
      <c r="AW92">
        <v>185400</v>
      </c>
      <c r="AX92">
        <v>182400</v>
      </c>
      <c r="AY92">
        <v>186200</v>
      </c>
      <c r="AZ92">
        <v>184500</v>
      </c>
    </row>
    <row r="93" spans="4:52" x14ac:dyDescent="0.3">
      <c r="P93">
        <v>132100</v>
      </c>
      <c r="Q93">
        <v>152200</v>
      </c>
      <c r="R93">
        <v>166900</v>
      </c>
      <c r="S93">
        <v>177500</v>
      </c>
      <c r="T93">
        <v>184500</v>
      </c>
      <c r="U93">
        <v>192400</v>
      </c>
      <c r="V93">
        <v>203000</v>
      </c>
      <c r="W93">
        <v>202800</v>
      </c>
      <c r="Y93">
        <v>215600</v>
      </c>
      <c r="Z93">
        <v>220300</v>
      </c>
      <c r="AA93">
        <v>224600</v>
      </c>
      <c r="AB93">
        <v>235100</v>
      </c>
      <c r="AC93">
        <v>236900</v>
      </c>
      <c r="AD93">
        <v>242100</v>
      </c>
      <c r="AE93">
        <v>241200</v>
      </c>
      <c r="AF93">
        <v>244600</v>
      </c>
      <c r="AG93">
        <v>244400</v>
      </c>
      <c r="AH93">
        <v>236700</v>
      </c>
      <c r="AI93">
        <v>247000</v>
      </c>
      <c r="AJ93">
        <v>250200</v>
      </c>
      <c r="AK93">
        <v>242700</v>
      </c>
      <c r="AL93">
        <v>238200</v>
      </c>
      <c r="AM93">
        <v>241500</v>
      </c>
      <c r="AN93">
        <v>237400</v>
      </c>
      <c r="AO93">
        <v>241300</v>
      </c>
      <c r="AP93">
        <v>235900</v>
      </c>
      <c r="AQ93">
        <v>243500</v>
      </c>
      <c r="AR93">
        <v>238600</v>
      </c>
      <c r="AS93">
        <v>233900</v>
      </c>
      <c r="AT93">
        <v>229100</v>
      </c>
      <c r="AU93">
        <v>225100</v>
      </c>
      <c r="AV93">
        <v>219800</v>
      </c>
      <c r="AW93">
        <v>227700</v>
      </c>
      <c r="AX93">
        <v>220400</v>
      </c>
      <c r="AY93">
        <v>226000</v>
      </c>
      <c r="AZ93">
        <v>224000</v>
      </c>
    </row>
    <row r="94" spans="4:52" x14ac:dyDescent="0.3">
      <c r="P94">
        <v>103200</v>
      </c>
      <c r="Q94">
        <v>111000</v>
      </c>
      <c r="R94">
        <v>118900</v>
      </c>
      <c r="S94">
        <v>120100</v>
      </c>
      <c r="T94">
        <v>118300</v>
      </c>
      <c r="U94">
        <v>128200</v>
      </c>
      <c r="V94">
        <v>141000</v>
      </c>
      <c r="W94">
        <v>143000</v>
      </c>
      <c r="Y94">
        <v>159500</v>
      </c>
      <c r="Z94">
        <v>170200</v>
      </c>
      <c r="AA94">
        <v>191100</v>
      </c>
      <c r="AB94">
        <v>195900</v>
      </c>
      <c r="AC94">
        <v>209500</v>
      </c>
      <c r="AD94">
        <v>226000</v>
      </c>
      <c r="AE94">
        <v>230600</v>
      </c>
      <c r="AF94">
        <v>238500</v>
      </c>
      <c r="AG94">
        <v>235000</v>
      </c>
      <c r="AH94">
        <v>236000</v>
      </c>
      <c r="AI94">
        <v>246300</v>
      </c>
      <c r="AJ94">
        <v>252000</v>
      </c>
      <c r="AK94">
        <v>256400</v>
      </c>
      <c r="AL94">
        <v>263200</v>
      </c>
      <c r="AM94">
        <v>257700</v>
      </c>
      <c r="AN94">
        <v>264900</v>
      </c>
      <c r="AO94">
        <v>263100</v>
      </c>
      <c r="AP94">
        <v>261400</v>
      </c>
      <c r="AQ94">
        <v>259500</v>
      </c>
      <c r="AR94">
        <v>252100</v>
      </c>
      <c r="AS94">
        <v>252500</v>
      </c>
      <c r="AT94">
        <v>255900</v>
      </c>
      <c r="AU94">
        <v>251300</v>
      </c>
      <c r="AV94">
        <v>240100</v>
      </c>
      <c r="AW94">
        <v>243700</v>
      </c>
      <c r="AX94">
        <v>237500</v>
      </c>
      <c r="AY94">
        <v>254000</v>
      </c>
      <c r="AZ94">
        <v>245100</v>
      </c>
    </row>
    <row r="95" spans="4:52" x14ac:dyDescent="0.3">
      <c r="P95">
        <v>95900</v>
      </c>
      <c r="Q95">
        <v>108900</v>
      </c>
      <c r="R95">
        <v>115500</v>
      </c>
      <c r="S95">
        <v>114600</v>
      </c>
      <c r="T95">
        <v>118600</v>
      </c>
      <c r="U95">
        <v>122500</v>
      </c>
      <c r="V95">
        <v>131400</v>
      </c>
      <c r="W95">
        <v>137300</v>
      </c>
      <c r="Y95">
        <v>153300</v>
      </c>
      <c r="Z95">
        <v>160300</v>
      </c>
      <c r="AA95">
        <v>175000</v>
      </c>
      <c r="AB95">
        <v>179300</v>
      </c>
      <c r="AC95">
        <v>192200</v>
      </c>
      <c r="AD95">
        <v>207900</v>
      </c>
      <c r="AE95">
        <v>215000</v>
      </c>
      <c r="AF95">
        <v>222400</v>
      </c>
      <c r="AG95">
        <v>220400</v>
      </c>
      <c r="AH95">
        <v>223200</v>
      </c>
      <c r="AI95">
        <v>228200</v>
      </c>
      <c r="AJ95">
        <v>236700</v>
      </c>
      <c r="AK95">
        <v>241800</v>
      </c>
      <c r="AL95">
        <v>249000</v>
      </c>
      <c r="AM95">
        <v>245000</v>
      </c>
      <c r="AN95">
        <v>260100</v>
      </c>
      <c r="AO95">
        <v>263200</v>
      </c>
      <c r="AP95">
        <v>256900</v>
      </c>
      <c r="AQ95">
        <v>256000</v>
      </c>
      <c r="AR95">
        <v>250200</v>
      </c>
      <c r="AS95">
        <v>253700</v>
      </c>
      <c r="AT95">
        <v>258900</v>
      </c>
      <c r="AU95">
        <v>255200</v>
      </c>
      <c r="AV95">
        <v>245100</v>
      </c>
      <c r="AW95">
        <v>245400</v>
      </c>
      <c r="AX95">
        <v>247800</v>
      </c>
      <c r="AY95">
        <v>256400</v>
      </c>
      <c r="AZ95">
        <v>250500</v>
      </c>
    </row>
    <row r="96" spans="4:52" x14ac:dyDescent="0.3">
      <c r="P96">
        <v>74200</v>
      </c>
      <c r="Q96">
        <v>84900</v>
      </c>
      <c r="R96">
        <v>85900</v>
      </c>
      <c r="S96">
        <v>86000</v>
      </c>
      <c r="T96">
        <v>92700</v>
      </c>
      <c r="U96">
        <v>92200</v>
      </c>
      <c r="V96">
        <v>93200</v>
      </c>
      <c r="W96">
        <v>100900</v>
      </c>
      <c r="Y96">
        <v>109600</v>
      </c>
      <c r="Z96">
        <v>113400</v>
      </c>
      <c r="AA96">
        <v>114100</v>
      </c>
      <c r="AB96">
        <v>114600</v>
      </c>
      <c r="AC96">
        <v>113500</v>
      </c>
      <c r="AD96">
        <v>114700</v>
      </c>
      <c r="AE96">
        <v>128400</v>
      </c>
      <c r="AF96">
        <v>135000</v>
      </c>
      <c r="AG96">
        <v>142200</v>
      </c>
      <c r="AH96">
        <v>145700</v>
      </c>
      <c r="AI96">
        <v>153100</v>
      </c>
      <c r="AJ96">
        <v>170300</v>
      </c>
      <c r="AK96">
        <v>182300</v>
      </c>
      <c r="AL96">
        <v>194900</v>
      </c>
      <c r="AM96">
        <v>196300</v>
      </c>
      <c r="AN96">
        <v>219000</v>
      </c>
      <c r="AO96">
        <v>222800</v>
      </c>
      <c r="AP96">
        <v>222700</v>
      </c>
      <c r="AQ96">
        <v>225800</v>
      </c>
      <c r="AR96">
        <v>235000</v>
      </c>
      <c r="AS96">
        <v>243800</v>
      </c>
      <c r="AT96">
        <v>247900</v>
      </c>
      <c r="AU96">
        <v>249100</v>
      </c>
      <c r="AV96">
        <v>253900</v>
      </c>
      <c r="AW96">
        <v>256500</v>
      </c>
      <c r="AX96">
        <v>252700</v>
      </c>
      <c r="AY96">
        <v>247900</v>
      </c>
      <c r="AZ96">
        <v>254500</v>
      </c>
    </row>
    <row r="97" spans="1:52" x14ac:dyDescent="0.3">
      <c r="P97">
        <v>54900</v>
      </c>
      <c r="Q97">
        <v>65700</v>
      </c>
      <c r="R97">
        <v>69400</v>
      </c>
      <c r="S97">
        <v>73100</v>
      </c>
      <c r="T97">
        <v>72500</v>
      </c>
      <c r="U97">
        <v>77200</v>
      </c>
      <c r="V97">
        <v>80700</v>
      </c>
      <c r="W97">
        <v>87500</v>
      </c>
      <c r="Y97">
        <v>92300</v>
      </c>
      <c r="Z97">
        <v>96900</v>
      </c>
      <c r="AA97">
        <v>98200</v>
      </c>
      <c r="AB97">
        <v>100500</v>
      </c>
      <c r="AC97">
        <v>99900</v>
      </c>
      <c r="AD97">
        <v>95800</v>
      </c>
      <c r="AE97">
        <v>112700</v>
      </c>
      <c r="AF97">
        <v>118300</v>
      </c>
      <c r="AG97">
        <v>121600</v>
      </c>
      <c r="AH97">
        <v>126800</v>
      </c>
      <c r="AI97">
        <v>129700</v>
      </c>
      <c r="AJ97">
        <v>144000</v>
      </c>
      <c r="AK97">
        <v>156000</v>
      </c>
      <c r="AL97">
        <v>166000</v>
      </c>
      <c r="AM97">
        <v>174500</v>
      </c>
      <c r="AN97">
        <v>185100</v>
      </c>
      <c r="AO97">
        <v>191800</v>
      </c>
      <c r="AP97">
        <v>195300</v>
      </c>
      <c r="AQ97">
        <v>200700</v>
      </c>
      <c r="AR97">
        <v>208200</v>
      </c>
      <c r="AS97">
        <v>220300</v>
      </c>
      <c r="AT97">
        <v>227300</v>
      </c>
      <c r="AU97">
        <v>230000</v>
      </c>
      <c r="AV97">
        <v>235200</v>
      </c>
      <c r="AW97">
        <v>232000</v>
      </c>
      <c r="AX97">
        <v>234900</v>
      </c>
      <c r="AY97">
        <v>219300</v>
      </c>
      <c r="AZ97">
        <v>230700</v>
      </c>
    </row>
    <row r="98" spans="1:52" x14ac:dyDescent="0.3">
      <c r="P98">
        <v>44500</v>
      </c>
      <c r="Q98">
        <v>49700</v>
      </c>
      <c r="R98">
        <v>49300</v>
      </c>
      <c r="S98">
        <v>50700</v>
      </c>
      <c r="T98">
        <v>51600</v>
      </c>
      <c r="U98">
        <v>54400</v>
      </c>
      <c r="V98">
        <v>55100</v>
      </c>
      <c r="W98">
        <v>57600</v>
      </c>
      <c r="Y98">
        <v>64000</v>
      </c>
      <c r="Z98">
        <v>65200</v>
      </c>
      <c r="AA98">
        <v>69900</v>
      </c>
      <c r="AB98">
        <v>70000</v>
      </c>
      <c r="AC98">
        <v>74000</v>
      </c>
      <c r="AD98">
        <v>71500</v>
      </c>
      <c r="AE98">
        <v>76100</v>
      </c>
      <c r="AF98">
        <v>77100</v>
      </c>
      <c r="AG98">
        <v>81300</v>
      </c>
      <c r="AH98">
        <v>83000</v>
      </c>
      <c r="AI98">
        <v>86600</v>
      </c>
      <c r="AJ98">
        <v>92100</v>
      </c>
      <c r="AK98">
        <v>97400</v>
      </c>
      <c r="AL98">
        <v>98600</v>
      </c>
      <c r="AM98">
        <v>94100</v>
      </c>
      <c r="AN98">
        <v>104900</v>
      </c>
      <c r="AO98">
        <v>108200</v>
      </c>
      <c r="AP98">
        <v>116000</v>
      </c>
      <c r="AQ98">
        <v>125300</v>
      </c>
      <c r="AR98">
        <v>130300</v>
      </c>
      <c r="AS98">
        <v>144300</v>
      </c>
      <c r="AT98">
        <v>150800</v>
      </c>
      <c r="AU98">
        <v>162700</v>
      </c>
      <c r="AV98">
        <v>179800</v>
      </c>
      <c r="AW98">
        <v>180800</v>
      </c>
      <c r="AX98">
        <v>193300</v>
      </c>
      <c r="AY98">
        <v>193500</v>
      </c>
      <c r="AZ98">
        <v>197900</v>
      </c>
    </row>
    <row r="99" spans="1:52" x14ac:dyDescent="0.3">
      <c r="P99">
        <v>26000</v>
      </c>
      <c r="Q99">
        <v>28800</v>
      </c>
      <c r="R99">
        <v>32200</v>
      </c>
      <c r="S99">
        <v>32600</v>
      </c>
      <c r="T99">
        <v>33400</v>
      </c>
      <c r="U99">
        <v>33500</v>
      </c>
      <c r="V99">
        <v>34300</v>
      </c>
      <c r="W99">
        <v>38800</v>
      </c>
      <c r="Y99">
        <v>41100</v>
      </c>
      <c r="Z99">
        <v>42200</v>
      </c>
      <c r="AA99">
        <v>47500</v>
      </c>
      <c r="AB99">
        <v>46600</v>
      </c>
      <c r="AC99">
        <v>54600</v>
      </c>
      <c r="AD99">
        <v>51100</v>
      </c>
      <c r="AE99">
        <v>55400</v>
      </c>
      <c r="AF99">
        <v>58700</v>
      </c>
      <c r="AG99">
        <v>60000</v>
      </c>
      <c r="AH99">
        <v>64900</v>
      </c>
      <c r="AI99">
        <v>65800</v>
      </c>
      <c r="AJ99">
        <v>73700</v>
      </c>
      <c r="AK99">
        <v>76700</v>
      </c>
      <c r="AL99">
        <v>75500</v>
      </c>
      <c r="AM99">
        <v>76200</v>
      </c>
      <c r="AN99">
        <v>84600</v>
      </c>
      <c r="AO99">
        <v>87900</v>
      </c>
      <c r="AP99">
        <v>94000</v>
      </c>
      <c r="AQ99">
        <v>107000</v>
      </c>
      <c r="AR99">
        <v>105600</v>
      </c>
      <c r="AS99">
        <v>115600</v>
      </c>
      <c r="AT99">
        <v>123500</v>
      </c>
      <c r="AU99">
        <v>128800</v>
      </c>
      <c r="AV99">
        <v>148400</v>
      </c>
      <c r="AW99">
        <v>150400</v>
      </c>
      <c r="AX99">
        <v>158400</v>
      </c>
      <c r="AY99">
        <v>164400</v>
      </c>
      <c r="AZ99">
        <v>166600</v>
      </c>
    </row>
    <row r="100" spans="1:52" x14ac:dyDescent="0.3">
      <c r="P100">
        <v>19100</v>
      </c>
      <c r="Q100">
        <v>23400</v>
      </c>
      <c r="R100">
        <v>25800</v>
      </c>
      <c r="S100">
        <v>26800</v>
      </c>
      <c r="T100">
        <v>27600</v>
      </c>
      <c r="U100">
        <v>26800</v>
      </c>
      <c r="V100">
        <v>27200</v>
      </c>
      <c r="W100">
        <v>28000</v>
      </c>
      <c r="Y100">
        <v>32000</v>
      </c>
      <c r="Z100">
        <v>32000</v>
      </c>
      <c r="AA100">
        <v>36500</v>
      </c>
      <c r="AB100">
        <v>35400</v>
      </c>
      <c r="AC100">
        <v>38700</v>
      </c>
      <c r="AD100">
        <v>40200</v>
      </c>
      <c r="AE100">
        <v>39500</v>
      </c>
      <c r="AF100">
        <v>44700</v>
      </c>
      <c r="AG100">
        <v>46200</v>
      </c>
      <c r="AH100">
        <v>46500</v>
      </c>
      <c r="AI100">
        <v>48200</v>
      </c>
      <c r="AJ100">
        <v>52000</v>
      </c>
      <c r="AK100">
        <v>56100</v>
      </c>
      <c r="AL100">
        <v>56000</v>
      </c>
      <c r="AM100">
        <v>59200</v>
      </c>
      <c r="AN100">
        <v>67100</v>
      </c>
      <c r="AO100">
        <v>65500</v>
      </c>
      <c r="AP100">
        <v>70000</v>
      </c>
      <c r="AQ100">
        <v>77100</v>
      </c>
      <c r="AR100">
        <v>75800</v>
      </c>
      <c r="AS100">
        <v>83300</v>
      </c>
      <c r="AT100">
        <v>86700</v>
      </c>
      <c r="AU100">
        <v>91800</v>
      </c>
      <c r="AV100">
        <v>101500</v>
      </c>
      <c r="AW100">
        <v>93800</v>
      </c>
      <c r="AX100">
        <v>98600</v>
      </c>
      <c r="AY100">
        <v>116500</v>
      </c>
      <c r="AZ100">
        <v>115900</v>
      </c>
    </row>
    <row r="101" spans="1:52" x14ac:dyDescent="0.3">
      <c r="P101">
        <v>7900</v>
      </c>
      <c r="Q101">
        <v>10300</v>
      </c>
      <c r="R101">
        <v>13800</v>
      </c>
      <c r="S101">
        <v>13000</v>
      </c>
      <c r="T101">
        <v>12500</v>
      </c>
      <c r="U101">
        <v>12600</v>
      </c>
      <c r="V101">
        <v>12100</v>
      </c>
      <c r="W101">
        <v>13100</v>
      </c>
      <c r="Y101">
        <v>14500</v>
      </c>
      <c r="Z101">
        <v>15200</v>
      </c>
      <c r="AA101">
        <v>15500</v>
      </c>
      <c r="AB101">
        <v>15200</v>
      </c>
      <c r="AC101">
        <v>18400</v>
      </c>
      <c r="AD101">
        <v>18000</v>
      </c>
      <c r="AE101">
        <v>22300</v>
      </c>
      <c r="AF101">
        <v>24900</v>
      </c>
      <c r="AG101">
        <v>19700</v>
      </c>
      <c r="AH101">
        <v>26100</v>
      </c>
      <c r="AI101">
        <v>22500</v>
      </c>
      <c r="AJ101">
        <v>24800</v>
      </c>
      <c r="AK101">
        <v>28000</v>
      </c>
      <c r="AL101">
        <v>29300</v>
      </c>
      <c r="AM101">
        <v>36500</v>
      </c>
      <c r="AN101">
        <v>36900</v>
      </c>
      <c r="AO101">
        <v>38200</v>
      </c>
      <c r="AP101">
        <v>38800</v>
      </c>
      <c r="AQ101">
        <v>46500</v>
      </c>
      <c r="AR101">
        <v>44600</v>
      </c>
      <c r="AS101">
        <v>50400</v>
      </c>
      <c r="AT101">
        <v>54900</v>
      </c>
      <c r="AU101">
        <v>59100</v>
      </c>
      <c r="AV101">
        <v>65700</v>
      </c>
      <c r="AW101">
        <v>55900</v>
      </c>
      <c r="AX101">
        <v>66500</v>
      </c>
      <c r="AY101">
        <v>76200</v>
      </c>
      <c r="AZ101">
        <v>80800</v>
      </c>
    </row>
    <row r="106" spans="1:52" x14ac:dyDescent="0.3">
      <c r="A106">
        <v>20</v>
      </c>
      <c r="B106">
        <v>854</v>
      </c>
    </row>
    <row r="107" spans="1:52" x14ac:dyDescent="0.3">
      <c r="A107">
        <v>21</v>
      </c>
      <c r="B107">
        <v>1824</v>
      </c>
    </row>
    <row r="108" spans="1:52" x14ac:dyDescent="0.3">
      <c r="A108">
        <v>22</v>
      </c>
      <c r="B108">
        <v>2804</v>
      </c>
    </row>
    <row r="109" spans="1:52" x14ac:dyDescent="0.3">
      <c r="A109">
        <v>23</v>
      </c>
      <c r="B109">
        <v>3822</v>
      </c>
    </row>
    <row r="110" spans="1:52" x14ac:dyDescent="0.3">
      <c r="A110">
        <v>24</v>
      </c>
      <c r="B110">
        <v>4937</v>
      </c>
    </row>
    <row r="111" spans="1:52" x14ac:dyDescent="0.3">
      <c r="A111">
        <v>25</v>
      </c>
      <c r="B111">
        <v>6252</v>
      </c>
    </row>
    <row r="112" spans="1:52" x14ac:dyDescent="0.3">
      <c r="A112">
        <v>26</v>
      </c>
      <c r="B112">
        <v>6936</v>
      </c>
    </row>
    <row r="113" spans="1:2" x14ac:dyDescent="0.3">
      <c r="A113">
        <v>27</v>
      </c>
      <c r="B113">
        <v>8073</v>
      </c>
    </row>
    <row r="114" spans="1:2" x14ac:dyDescent="0.3">
      <c r="A114">
        <v>28</v>
      </c>
      <c r="B114">
        <v>9697</v>
      </c>
    </row>
    <row r="115" spans="1:2" x14ac:dyDescent="0.3">
      <c r="A115">
        <v>29</v>
      </c>
      <c r="B115">
        <v>11701</v>
      </c>
    </row>
    <row r="116" spans="1:2" x14ac:dyDescent="0.3">
      <c r="A116">
        <v>30</v>
      </c>
      <c r="B116">
        <v>17163</v>
      </c>
    </row>
    <row r="117" spans="1:2" x14ac:dyDescent="0.3">
      <c r="A117">
        <v>31</v>
      </c>
      <c r="B117">
        <v>18503</v>
      </c>
    </row>
    <row r="118" spans="1:2" x14ac:dyDescent="0.3">
      <c r="A118">
        <v>32</v>
      </c>
      <c r="B118">
        <v>19459</v>
      </c>
    </row>
    <row r="119" spans="1:2" x14ac:dyDescent="0.3">
      <c r="A119">
        <v>33</v>
      </c>
      <c r="B119">
        <v>19915</v>
      </c>
    </row>
    <row r="120" spans="1:2" x14ac:dyDescent="0.3">
      <c r="A120">
        <v>34</v>
      </c>
      <c r="B120">
        <v>19882</v>
      </c>
    </row>
    <row r="121" spans="1:2" x14ac:dyDescent="0.3">
      <c r="A121">
        <v>35</v>
      </c>
      <c r="B121">
        <v>20101</v>
      </c>
    </row>
    <row r="122" spans="1:2" x14ac:dyDescent="0.3">
      <c r="A122">
        <v>36</v>
      </c>
      <c r="B122">
        <v>20657</v>
      </c>
    </row>
    <row r="123" spans="1:2" x14ac:dyDescent="0.3">
      <c r="A123">
        <v>37</v>
      </c>
      <c r="B123">
        <v>20949</v>
      </c>
    </row>
    <row r="124" spans="1:2" x14ac:dyDescent="0.3">
      <c r="A124">
        <v>38</v>
      </c>
      <c r="B124">
        <v>21024</v>
      </c>
    </row>
    <row r="125" spans="1:2" x14ac:dyDescent="0.3">
      <c r="A125">
        <v>39</v>
      </c>
      <c r="B125">
        <v>20947</v>
      </c>
    </row>
    <row r="126" spans="1:2" x14ac:dyDescent="0.3">
      <c r="A126">
        <v>40</v>
      </c>
      <c r="B126">
        <v>16801</v>
      </c>
    </row>
    <row r="127" spans="1:2" x14ac:dyDescent="0.3">
      <c r="A127">
        <v>41</v>
      </c>
      <c r="B127">
        <v>16066</v>
      </c>
    </row>
    <row r="128" spans="1:2" x14ac:dyDescent="0.3">
      <c r="A128">
        <v>42</v>
      </c>
      <c r="B128">
        <v>15467</v>
      </c>
    </row>
    <row r="129" spans="1:2" x14ac:dyDescent="0.3">
      <c r="A129">
        <v>43</v>
      </c>
      <c r="B129">
        <v>15034</v>
      </c>
    </row>
    <row r="130" spans="1:2" x14ac:dyDescent="0.3">
      <c r="A130">
        <v>44</v>
      </c>
      <c r="B130">
        <v>14735</v>
      </c>
    </row>
    <row r="131" spans="1:2" x14ac:dyDescent="0.3">
      <c r="A131">
        <v>45</v>
      </c>
      <c r="B131">
        <v>14482</v>
      </c>
    </row>
    <row r="132" spans="1:2" x14ac:dyDescent="0.3">
      <c r="A132">
        <v>46</v>
      </c>
      <c r="B132">
        <v>14177</v>
      </c>
    </row>
    <row r="133" spans="1:2" x14ac:dyDescent="0.3">
      <c r="A133">
        <v>47</v>
      </c>
      <c r="B133">
        <v>13746</v>
      </c>
    </row>
    <row r="134" spans="1:2" x14ac:dyDescent="0.3">
      <c r="A134">
        <v>48</v>
      </c>
      <c r="B134">
        <v>13157</v>
      </c>
    </row>
    <row r="135" spans="1:2" x14ac:dyDescent="0.3">
      <c r="A135">
        <v>49</v>
      </c>
      <c r="B135">
        <v>12436</v>
      </c>
    </row>
    <row r="136" spans="1:2" x14ac:dyDescent="0.3">
      <c r="A136">
        <v>50</v>
      </c>
      <c r="B136">
        <v>11486</v>
      </c>
    </row>
    <row r="137" spans="1:2" x14ac:dyDescent="0.3">
      <c r="A137">
        <v>51</v>
      </c>
      <c r="B137">
        <v>10817</v>
      </c>
    </row>
    <row r="138" spans="1:2" x14ac:dyDescent="0.3">
      <c r="A138">
        <v>52</v>
      </c>
      <c r="B138">
        <v>10281</v>
      </c>
    </row>
    <row r="139" spans="1:2" x14ac:dyDescent="0.3">
      <c r="A139">
        <v>53</v>
      </c>
      <c r="B139">
        <v>9907</v>
      </c>
    </row>
    <row r="140" spans="1:2" x14ac:dyDescent="0.3">
      <c r="A140">
        <v>54</v>
      </c>
      <c r="B140">
        <v>9670</v>
      </c>
    </row>
    <row r="141" spans="1:2" x14ac:dyDescent="0.3">
      <c r="A141">
        <v>55</v>
      </c>
      <c r="B141">
        <v>9454</v>
      </c>
    </row>
    <row r="142" spans="1:2" x14ac:dyDescent="0.3">
      <c r="A142">
        <v>56</v>
      </c>
      <c r="B142">
        <v>9176</v>
      </c>
    </row>
    <row r="143" spans="1:2" x14ac:dyDescent="0.3">
      <c r="A143">
        <v>57</v>
      </c>
      <c r="B143">
        <v>8814</v>
      </c>
    </row>
    <row r="144" spans="1:2" x14ac:dyDescent="0.3">
      <c r="A144">
        <v>58</v>
      </c>
      <c r="B144">
        <v>8335</v>
      </c>
    </row>
    <row r="145" spans="1:2" x14ac:dyDescent="0.3">
      <c r="A145">
        <v>59</v>
      </c>
      <c r="B145">
        <v>7762</v>
      </c>
    </row>
    <row r="146" spans="1:2" x14ac:dyDescent="0.3">
      <c r="A146">
        <v>60</v>
      </c>
      <c r="B146">
        <v>7248</v>
      </c>
    </row>
    <row r="147" spans="1:2" x14ac:dyDescent="0.3">
      <c r="A147">
        <v>61</v>
      </c>
      <c r="B147">
        <v>6752</v>
      </c>
    </row>
    <row r="148" spans="1:2" x14ac:dyDescent="0.3">
      <c r="A148">
        <v>62</v>
      </c>
      <c r="B148">
        <v>6355</v>
      </c>
    </row>
    <row r="149" spans="1:2" x14ac:dyDescent="0.3">
      <c r="A149">
        <v>63</v>
      </c>
      <c r="B149">
        <v>6079</v>
      </c>
    </row>
    <row r="150" spans="1:2" x14ac:dyDescent="0.3">
      <c r="A150">
        <v>64</v>
      </c>
      <c r="B150">
        <v>5902</v>
      </c>
    </row>
    <row r="151" spans="1:2" x14ac:dyDescent="0.3">
      <c r="A151">
        <v>65</v>
      </c>
      <c r="B151">
        <v>5743</v>
      </c>
    </row>
    <row r="152" spans="1:2" x14ac:dyDescent="0.3">
      <c r="A152">
        <v>66</v>
      </c>
      <c r="B152">
        <v>5538</v>
      </c>
    </row>
    <row r="153" spans="1:2" x14ac:dyDescent="0.3">
      <c r="A153">
        <v>67</v>
      </c>
      <c r="B153">
        <v>5270</v>
      </c>
    </row>
    <row r="154" spans="1:2" x14ac:dyDescent="0.3">
      <c r="A154">
        <v>68</v>
      </c>
      <c r="B154">
        <v>4918</v>
      </c>
    </row>
    <row r="155" spans="1:2" x14ac:dyDescent="0.3">
      <c r="A155">
        <v>69</v>
      </c>
      <c r="B155">
        <v>4496</v>
      </c>
    </row>
    <row r="156" spans="1:2" x14ac:dyDescent="0.3">
      <c r="A156">
        <v>70</v>
      </c>
      <c r="B156">
        <v>4077</v>
      </c>
    </row>
    <row r="157" spans="1:2" x14ac:dyDescent="0.3">
      <c r="A157">
        <v>71</v>
      </c>
      <c r="B157">
        <v>3511</v>
      </c>
    </row>
    <row r="158" spans="1:2" x14ac:dyDescent="0.3">
      <c r="A158">
        <v>72</v>
      </c>
      <c r="B158">
        <v>3047</v>
      </c>
    </row>
    <row r="159" spans="1:2" x14ac:dyDescent="0.3">
      <c r="A159">
        <v>73</v>
      </c>
      <c r="B159">
        <v>2691</v>
      </c>
    </row>
    <row r="160" spans="1:2" x14ac:dyDescent="0.3">
      <c r="A160">
        <v>74</v>
      </c>
      <c r="B160">
        <v>2424</v>
      </c>
    </row>
    <row r="161" spans="1:2" x14ac:dyDescent="0.3">
      <c r="A161">
        <v>75</v>
      </c>
      <c r="B161">
        <v>2083</v>
      </c>
    </row>
    <row r="162" spans="1:2" x14ac:dyDescent="0.3">
      <c r="A162">
        <v>76</v>
      </c>
      <c r="B162">
        <v>1793</v>
      </c>
    </row>
    <row r="163" spans="1:2" x14ac:dyDescent="0.3">
      <c r="A163">
        <v>77</v>
      </c>
      <c r="B163">
        <v>1537</v>
      </c>
    </row>
    <row r="164" spans="1:2" x14ac:dyDescent="0.3">
      <c r="A164">
        <v>78</v>
      </c>
      <c r="B164">
        <v>1304</v>
      </c>
    </row>
    <row r="165" spans="1:2" x14ac:dyDescent="0.3">
      <c r="A165">
        <v>79</v>
      </c>
      <c r="B165">
        <v>1092</v>
      </c>
    </row>
    <row r="166" spans="1:2" x14ac:dyDescent="0.3">
      <c r="A166">
        <v>80</v>
      </c>
      <c r="B166">
        <v>1049</v>
      </c>
    </row>
    <row r="167" spans="1:2" x14ac:dyDescent="0.3">
      <c r="A167">
        <v>81</v>
      </c>
      <c r="B167">
        <v>1025</v>
      </c>
    </row>
    <row r="168" spans="1:2" x14ac:dyDescent="0.3">
      <c r="A168">
        <v>82</v>
      </c>
      <c r="B168">
        <v>983</v>
      </c>
    </row>
    <row r="169" spans="1:2" x14ac:dyDescent="0.3">
      <c r="A169">
        <v>83</v>
      </c>
      <c r="B169">
        <v>924</v>
      </c>
    </row>
    <row r="170" spans="1:2" x14ac:dyDescent="0.3">
      <c r="A170">
        <v>84</v>
      </c>
      <c r="B170">
        <v>851</v>
      </c>
    </row>
    <row r="171" spans="1:2" x14ac:dyDescent="0.3">
      <c r="A171">
        <v>85</v>
      </c>
      <c r="B171">
        <v>765</v>
      </c>
    </row>
    <row r="172" spans="1:2" x14ac:dyDescent="0.3">
      <c r="A172">
        <v>86</v>
      </c>
      <c r="B172">
        <v>631</v>
      </c>
    </row>
    <row r="173" spans="1:2" x14ac:dyDescent="0.3">
      <c r="A173">
        <v>87</v>
      </c>
      <c r="B173">
        <v>496</v>
      </c>
    </row>
    <row r="174" spans="1:2" x14ac:dyDescent="0.3">
      <c r="A174">
        <v>88</v>
      </c>
      <c r="B174">
        <v>347</v>
      </c>
    </row>
    <row r="175" spans="1:2" x14ac:dyDescent="0.3">
      <c r="A175">
        <v>89</v>
      </c>
      <c r="B175">
        <v>170</v>
      </c>
    </row>
    <row r="176" spans="1:2" x14ac:dyDescent="0.3">
      <c r="A176">
        <v>90</v>
      </c>
    </row>
    <row r="177" spans="1:1" x14ac:dyDescent="0.3">
      <c r="A177">
        <v>91</v>
      </c>
    </row>
    <row r="178" spans="1:1" x14ac:dyDescent="0.3">
      <c r="A178">
        <v>92</v>
      </c>
    </row>
    <row r="179" spans="1:1" x14ac:dyDescent="0.3">
      <c r="A179">
        <v>93</v>
      </c>
    </row>
    <row r="180" spans="1:1" x14ac:dyDescent="0.3">
      <c r="A180">
        <v>94</v>
      </c>
    </row>
    <row r="181" spans="1:1" x14ac:dyDescent="0.3">
      <c r="A181">
        <v>95</v>
      </c>
    </row>
    <row r="182" spans="1:1" x14ac:dyDescent="0.3">
      <c r="A182">
        <v>96</v>
      </c>
    </row>
    <row r="183" spans="1:1" x14ac:dyDescent="0.3">
      <c r="A183">
        <v>97</v>
      </c>
    </row>
    <row r="184" spans="1:1" x14ac:dyDescent="0.3">
      <c r="A184">
        <v>98</v>
      </c>
    </row>
    <row r="185" spans="1:1" x14ac:dyDescent="0.3">
      <c r="A185">
        <v>99</v>
      </c>
    </row>
    <row r="186" spans="1:1" x14ac:dyDescent="0.3">
      <c r="A186">
        <v>100</v>
      </c>
    </row>
    <row r="187" spans="1:1" x14ac:dyDescent="0.3">
      <c r="A187">
        <v>101</v>
      </c>
    </row>
    <row r="188" spans="1:1" x14ac:dyDescent="0.3">
      <c r="A188">
        <v>102</v>
      </c>
    </row>
    <row r="189" spans="1:1" x14ac:dyDescent="0.3">
      <c r="A189">
        <v>103</v>
      </c>
    </row>
    <row r="190" spans="1:1" x14ac:dyDescent="0.3">
      <c r="A190">
        <v>104</v>
      </c>
    </row>
    <row r="191" spans="1:1" x14ac:dyDescent="0.3">
      <c r="A191">
        <v>105</v>
      </c>
    </row>
    <row r="192" spans="1:1" x14ac:dyDescent="0.3">
      <c r="A192">
        <v>106</v>
      </c>
    </row>
    <row r="193" spans="1:1" x14ac:dyDescent="0.3">
      <c r="A193">
        <v>107</v>
      </c>
    </row>
    <row r="194" spans="1:1" x14ac:dyDescent="0.3">
      <c r="A194">
        <v>108</v>
      </c>
    </row>
    <row r="195" spans="1:1" x14ac:dyDescent="0.3">
      <c r="A195">
        <v>109</v>
      </c>
    </row>
    <row r="196" spans="1:1" x14ac:dyDescent="0.3">
      <c r="A196">
        <v>110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Sheet4</vt:lpstr>
      <vt:lpstr>Residents</vt:lpstr>
      <vt:lpstr>Non-residents</vt:lpstr>
      <vt:lpstr>Total</vt:lpstr>
      <vt:lpstr>Males</vt:lpstr>
      <vt:lpstr>Females</vt:lpstr>
      <vt:lpstr>Males AverageAge</vt:lpstr>
      <vt:lpstr>Females AverageAge</vt:lpstr>
      <vt:lpstr>SM</vt:lpstr>
      <vt:lpstr>MM</vt:lpstr>
      <vt:lpstr>WM</vt:lpstr>
      <vt:lpstr>DM</vt:lpstr>
      <vt:lpstr>SF</vt:lpstr>
      <vt:lpstr>MF</vt:lpstr>
      <vt:lpstr>DF</vt:lpstr>
      <vt:lpstr>WF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2020-04-12T12:19:42Z</dcterms:modified>
</cp:coreProperties>
</file>